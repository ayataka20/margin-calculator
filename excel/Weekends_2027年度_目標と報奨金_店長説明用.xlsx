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目標と報奨金" sheetId="1" state="visible" r:id="rId1"/>
  </sheets>
  <definedNames>
    <definedName name="_xlnm.Print_Area" localSheetId="0">'目標と報奨金'!$A$1:$H$48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万円&quot;"/>
    <numFmt numFmtId="165" formatCode="0.0%"/>
    <numFmt numFmtId="166" formatCode="0&quot;日&quot;"/>
    <numFmt numFmtId="167" formatCode="#,##0.0&quot;万円&quot;"/>
    <numFmt numFmtId="168" formatCode="#,##0&quot;円&quot;"/>
  </numFmts>
  <fonts count="9">
    <font>
      <name val="Calibri"/>
      <family val="2"/>
      <color theme="1"/>
      <sz val="11"/>
      <scheme val="minor"/>
    </font>
    <font>
      <name val="Meiryo UI"/>
      <b val="1"/>
      <sz val="15"/>
    </font>
    <font>
      <name val="Meiryo UI"/>
      <sz val="11"/>
    </font>
    <font>
      <name val="Meiryo UI"/>
      <b val="1"/>
      <sz val="12"/>
    </font>
    <font>
      <name val="Meiryo UI"/>
      <b val="1"/>
      <sz val="11"/>
    </font>
    <font>
      <name val="Meiryo UI"/>
      <b val="1"/>
      <sz val="16"/>
    </font>
    <font>
      <name val="Meiryo UI"/>
      <sz val="10"/>
    </font>
    <font>
      <name val="Meiryo UI"/>
      <b val="1"/>
      <color rgb="00FFFFFF"/>
      <sz val="11"/>
    </font>
    <font>
      <name val="Meiryo UI"/>
      <b val="1"/>
      <sz val="13"/>
    </font>
  </fonts>
  <fills count="5">
    <fill>
      <patternFill/>
    </fill>
    <fill>
      <patternFill patternType="gray125"/>
    </fill>
    <fill>
      <patternFill patternType="solid">
        <fgColor rgb="00E3EEF5"/>
      </patternFill>
    </fill>
    <fill>
      <patternFill patternType="solid">
        <fgColor rgb="00073F5F"/>
      </patternFill>
    </fill>
    <fill>
      <patternFill patternType="solid">
        <fgColor rgb="00FBEFD5"/>
      </patternFill>
    </fill>
  </fills>
  <borders count="2">
    <border>
      <left/>
      <right/>
      <top/>
      <bottom/>
      <diagonal/>
    </border>
    <border>
      <left style="thin">
        <color rgb="00B7C4CF"/>
      </left>
      <right style="thin">
        <color rgb="00B7C4CF"/>
      </right>
      <top style="thin">
        <color rgb="00B7C4CF"/>
      </top>
      <bottom style="thin">
        <color rgb="00B7C4C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 wrapText="1"/>
    </xf>
    <xf numFmtId="0" fontId="7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vertical="center"/>
    </xf>
    <xf numFmtId="164" fontId="4" fillId="4" borderId="1" applyAlignment="1" pivotButton="0" quotePrefix="0" xfId="0">
      <alignment vertical="center"/>
    </xf>
    <xf numFmtId="167" fontId="2" fillId="0" borderId="1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164" fontId="4" fillId="2" borderId="1" applyAlignment="1" pivotButton="0" quotePrefix="0" xfId="0">
      <alignment vertical="center"/>
    </xf>
    <xf numFmtId="167" fontId="4" fillId="2" borderId="1" applyAlignment="1" pivotButton="0" quotePrefix="0" xfId="0">
      <alignment vertical="center"/>
    </xf>
    <xf numFmtId="0" fontId="2" fillId="3" borderId="1" applyAlignment="1" pivotButton="0" quotePrefix="0" xfId="0">
      <alignment vertical="center"/>
    </xf>
    <xf numFmtId="0" fontId="7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168" fontId="2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center"/>
    </xf>
    <xf numFmtId="168" fontId="8" fillId="4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Weekends　2027年度（2026年8月〜2027年7月）の目標と報奨金について（案）</t>
        </is>
      </c>
    </row>
    <row r="2" ht="20" customHeight="1">
      <c r="A2" s="2" t="inlineStr">
        <is>
          <t>毎月の「報奨金の目標」（粗利）を達成したら、お店のみんなに報奨金を出します。金額はすべて税抜です。</t>
        </is>
      </c>
    </row>
    <row r="4">
      <c r="A4" s="3" t="inlineStr">
        <is>
          <t>1. 報奨金の目標（1年間の合計）</t>
        </is>
      </c>
    </row>
    <row r="5">
      <c r="A5" s="4" t="inlineStr">
        <is>
          <t>売上の目標</t>
        </is>
      </c>
      <c r="B5" s="5" t="n"/>
      <c r="C5" s="4" t="inlineStr">
        <is>
          <t>粗利の目標</t>
        </is>
      </c>
      <c r="D5" s="5" t="n"/>
      <c r="E5" s="4" t="inlineStr">
        <is>
          <t>粗利率（粗利÷売上）</t>
        </is>
      </c>
      <c r="F5" s="5" t="n"/>
      <c r="G5" s="4" t="inlineStr">
        <is>
          <t>前年の売上（参考）</t>
        </is>
      </c>
      <c r="H5" s="5" t="n"/>
    </row>
    <row r="6" ht="30" customHeight="1">
      <c r="A6" s="6">
        <f>E23</f>
        <v/>
      </c>
      <c r="B6" s="5" t="n"/>
      <c r="C6" s="6">
        <f>F23</f>
        <v/>
      </c>
      <c r="D6" s="5" t="n"/>
      <c r="E6" s="7">
        <f>C6/A6</f>
        <v/>
      </c>
      <c r="F6" s="5" t="n"/>
      <c r="G6" s="6">
        <f>D23</f>
        <v/>
      </c>
      <c r="H6" s="5" t="n"/>
    </row>
    <row r="7" ht="30" customHeight="1">
      <c r="A7" s="8" t="inlineStr">
        <is>
          <t>報奨金の目標は、店長さんがスマレジに登録した予算をもとに決めました（売上は予算どおり、粗利は予算×粗利率）。売上の少ない月（8・9・2・4・5・7月）は、お店の経費をまかなえる粗利180万円・売上530万円にしています。</t>
        </is>
      </c>
    </row>
    <row r="9">
      <c r="A9" s="3" t="inlineStr">
        <is>
          <t>2. 月ごとの報奨金の目標</t>
        </is>
      </c>
    </row>
    <row r="10" ht="50" customHeight="1">
      <c r="A10" s="9" t="inlineStr">
        <is>
          <t>月</t>
        </is>
      </c>
      <c r="B10" s="9" t="inlineStr">
        <is>
          <t>営業日数
（水曜休み
を除く）</t>
        </is>
      </c>
      <c r="C10" s="9" t="inlineStr">
        <is>
          <t>店長さんの予算
（スマレジ）</t>
        </is>
      </c>
      <c r="D10" s="9" t="inlineStr">
        <is>
          <t>前年の売上
（参考）</t>
        </is>
      </c>
      <c r="E10" s="9" t="inlineStr">
        <is>
          <t>売上の目標</t>
        </is>
      </c>
      <c r="F10" s="9" t="inlineStr">
        <is>
          <t>粗利の目標
（達成ライン）</t>
        </is>
      </c>
      <c r="G10" s="9" t="inlineStr">
        <is>
          <t>粗利の目標
（105%
ライン）</t>
        </is>
      </c>
      <c r="H10" s="9" t="inlineStr">
        <is>
          <t>1日あたり
粗利の目安</t>
        </is>
      </c>
    </row>
    <row r="11">
      <c r="A11" s="10" t="inlineStr">
        <is>
          <t>8月</t>
        </is>
      </c>
      <c r="B11" s="11" t="n">
        <v>27</v>
      </c>
      <c r="C11" s="12" t="n">
        <v>350</v>
      </c>
      <c r="D11" s="12" t="n">
        <v>304</v>
      </c>
      <c r="E11" s="12" t="n">
        <v>530</v>
      </c>
      <c r="F11" s="13" t="n">
        <v>180</v>
      </c>
      <c r="G11" s="12">
        <f>ROUND(F11*1.05/5,0)*5</f>
        <v/>
      </c>
      <c r="H11" s="14">
        <f>F11/B11</f>
        <v/>
      </c>
    </row>
    <row r="12">
      <c r="A12" s="10" t="inlineStr">
        <is>
          <t>9月</t>
        </is>
      </c>
      <c r="B12" s="11" t="n">
        <v>25</v>
      </c>
      <c r="C12" s="12" t="n">
        <v>450</v>
      </c>
      <c r="D12" s="12" t="n">
        <v>364</v>
      </c>
      <c r="E12" s="12" t="n">
        <v>530</v>
      </c>
      <c r="F12" s="13" t="n">
        <v>180</v>
      </c>
      <c r="G12" s="12">
        <f>ROUND(F12*1.05/5,0)*5</f>
        <v/>
      </c>
      <c r="H12" s="14">
        <f>F12/B12</f>
        <v/>
      </c>
    </row>
    <row r="13">
      <c r="A13" s="10" t="inlineStr">
        <is>
          <t>10月</t>
        </is>
      </c>
      <c r="B13" s="11" t="n">
        <v>27</v>
      </c>
      <c r="C13" s="12" t="n">
        <v>550</v>
      </c>
      <c r="D13" s="12" t="n">
        <v>493</v>
      </c>
      <c r="E13" s="12" t="n">
        <v>550</v>
      </c>
      <c r="F13" s="13" t="n">
        <v>190</v>
      </c>
      <c r="G13" s="12">
        <f>ROUND(F13*1.05/5,0)*5</f>
        <v/>
      </c>
      <c r="H13" s="14">
        <f>F13/B13</f>
        <v/>
      </c>
    </row>
    <row r="14">
      <c r="A14" s="10" t="inlineStr">
        <is>
          <t>11月</t>
        </is>
      </c>
      <c r="B14" s="11" t="n">
        <v>26</v>
      </c>
      <c r="C14" s="12" t="n">
        <v>550</v>
      </c>
      <c r="D14" s="12" t="n">
        <v>515</v>
      </c>
      <c r="E14" s="12" t="n">
        <v>550</v>
      </c>
      <c r="F14" s="13" t="n">
        <v>190</v>
      </c>
      <c r="G14" s="12">
        <f>ROUND(F14*1.05/5,0)*5</f>
        <v/>
      </c>
      <c r="H14" s="14">
        <f>F14/B14</f>
        <v/>
      </c>
    </row>
    <row r="15">
      <c r="A15" s="10" t="inlineStr">
        <is>
          <t>12月</t>
        </is>
      </c>
      <c r="B15" s="11" t="n">
        <v>26</v>
      </c>
      <c r="C15" s="12" t="n">
        <v>700</v>
      </c>
      <c r="D15" s="12" t="n">
        <v>682</v>
      </c>
      <c r="E15" s="12" t="n">
        <v>700</v>
      </c>
      <c r="F15" s="13" t="n">
        <v>240</v>
      </c>
      <c r="G15" s="12">
        <f>ROUND(F15*1.05/5,0)*5</f>
        <v/>
      </c>
      <c r="H15" s="14">
        <f>F15/B15</f>
        <v/>
      </c>
    </row>
    <row r="16">
      <c r="A16" s="10" t="inlineStr">
        <is>
          <t>1月</t>
        </is>
      </c>
      <c r="B16" s="11" t="n">
        <v>27</v>
      </c>
      <c r="C16" s="12" t="n">
        <v>600</v>
      </c>
      <c r="D16" s="12" t="n">
        <v>485</v>
      </c>
      <c r="E16" s="12" t="n">
        <v>600</v>
      </c>
      <c r="F16" s="13" t="n">
        <v>205</v>
      </c>
      <c r="G16" s="12">
        <f>ROUND(F16*1.05/5,0)*5</f>
        <v/>
      </c>
      <c r="H16" s="14">
        <f>F16/B16</f>
        <v/>
      </c>
    </row>
    <row r="17">
      <c r="A17" s="10" t="inlineStr">
        <is>
          <t>2月</t>
        </is>
      </c>
      <c r="B17" s="11" t="n">
        <v>24</v>
      </c>
      <c r="C17" s="12" t="n">
        <v>350</v>
      </c>
      <c r="D17" s="12" t="n">
        <v>280</v>
      </c>
      <c r="E17" s="12" t="n">
        <v>530</v>
      </c>
      <c r="F17" s="13" t="n">
        <v>180</v>
      </c>
      <c r="G17" s="12">
        <f>ROUND(F17*1.05/5,0)*5</f>
        <v/>
      </c>
      <c r="H17" s="14">
        <f>F17/B17</f>
        <v/>
      </c>
    </row>
    <row r="18">
      <c r="A18" s="10" t="inlineStr">
        <is>
          <t>3月</t>
        </is>
      </c>
      <c r="B18" s="11" t="n">
        <v>26</v>
      </c>
      <c r="C18" s="12" t="n">
        <v>550</v>
      </c>
      <c r="D18" s="12" t="n">
        <v>442</v>
      </c>
      <c r="E18" s="12" t="n">
        <v>550</v>
      </c>
      <c r="F18" s="13" t="n">
        <v>190</v>
      </c>
      <c r="G18" s="12">
        <f>ROUND(F18*1.05/5,0)*5</f>
        <v/>
      </c>
      <c r="H18" s="14">
        <f>F18/B18</f>
        <v/>
      </c>
    </row>
    <row r="19">
      <c r="A19" s="10" t="inlineStr">
        <is>
          <t>4月</t>
        </is>
      </c>
      <c r="B19" s="11" t="n">
        <v>26</v>
      </c>
      <c r="C19" s="12" t="n">
        <v>450</v>
      </c>
      <c r="D19" s="12" t="n">
        <v>358</v>
      </c>
      <c r="E19" s="12" t="n">
        <v>530</v>
      </c>
      <c r="F19" s="13" t="n">
        <v>180</v>
      </c>
      <c r="G19" s="12">
        <f>ROUND(F19*1.05/5,0)*5</f>
        <v/>
      </c>
      <c r="H19" s="14">
        <f>F19/B19</f>
        <v/>
      </c>
    </row>
    <row r="20">
      <c r="A20" s="10" t="inlineStr">
        <is>
          <t>5月</t>
        </is>
      </c>
      <c r="B20" s="11" t="n">
        <v>27</v>
      </c>
      <c r="C20" s="12" t="n">
        <v>450</v>
      </c>
      <c r="D20" s="12" t="n">
        <v>480</v>
      </c>
      <c r="E20" s="12" t="n">
        <v>530</v>
      </c>
      <c r="F20" s="13" t="n">
        <v>180</v>
      </c>
      <c r="G20" s="12">
        <f>ROUND(F20*1.05/5,0)*5</f>
        <v/>
      </c>
      <c r="H20" s="14">
        <f>F20/B20</f>
        <v/>
      </c>
    </row>
    <row r="21">
      <c r="A21" s="10" t="inlineStr">
        <is>
          <t>6月</t>
        </is>
      </c>
      <c r="B21" s="11" t="n">
        <v>25</v>
      </c>
      <c r="C21" s="12" t="n">
        <v>550</v>
      </c>
      <c r="D21" s="12" t="n">
        <v>489</v>
      </c>
      <c r="E21" s="12" t="n">
        <v>550</v>
      </c>
      <c r="F21" s="13" t="n">
        <v>190</v>
      </c>
      <c r="G21" s="12">
        <f>ROUND(F21*1.05/5,0)*5</f>
        <v/>
      </c>
      <c r="H21" s="14">
        <f>F21/B21</f>
        <v/>
      </c>
    </row>
    <row r="22">
      <c r="A22" s="10" t="inlineStr">
        <is>
          <t>7月</t>
        </is>
      </c>
      <c r="B22" s="11" t="n">
        <v>27</v>
      </c>
      <c r="C22" s="12" t="n">
        <v>450</v>
      </c>
      <c r="D22" s="12" t="n">
        <v>474</v>
      </c>
      <c r="E22" s="12" t="n">
        <v>530</v>
      </c>
      <c r="F22" s="13" t="n">
        <v>180</v>
      </c>
      <c r="G22" s="12">
        <f>ROUND(F22*1.05/5,0)*5</f>
        <v/>
      </c>
      <c r="H22" s="14">
        <f>F22/B22</f>
        <v/>
      </c>
    </row>
    <row r="23">
      <c r="A23" s="15" t="inlineStr">
        <is>
          <t>年計</t>
        </is>
      </c>
      <c r="B23" s="16">
        <f>SUM(B11:B22)</f>
        <v/>
      </c>
      <c r="C23" s="17">
        <f>SUM(C11:C22)</f>
        <v/>
      </c>
      <c r="D23" s="17">
        <f>SUM(D11:D22)</f>
        <v/>
      </c>
      <c r="E23" s="17">
        <f>SUM(E11:E22)</f>
        <v/>
      </c>
      <c r="F23" s="17">
        <f>SUM(F11:F22)</f>
        <v/>
      </c>
      <c r="G23" s="17">
        <f>SUM(G11:G22)</f>
        <v/>
      </c>
      <c r="H23" s="18">
        <f>F23/B23</f>
        <v/>
      </c>
    </row>
    <row r="24" ht="36" customHeight="1">
      <c r="A24" s="8" t="inlineStr">
        <is>
          <t>・色の付いた「粗利の目標（達成ライン）」が報奨金の判定に使う数字です。売上の目標は目安です。
・前年の売上は1万円未満を四捨五入。営業日数は水曜休みだけを除いた日数です（臨時休業があれば1日あたりの目安は少し上がります）。</t>
        </is>
      </c>
    </row>
    <row r="26">
      <c r="A26" s="3" t="inlineStr">
        <is>
          <t>3. 報奨金のしくみ（毎月、その月の粗利で判定します）</t>
        </is>
      </c>
    </row>
    <row r="27">
      <c r="A27" s="19" t="inlineStr"/>
      <c r="B27" s="5" t="n"/>
      <c r="C27" s="20" t="inlineStr">
        <is>
          <t>粗利が「達成ライン」以上</t>
        </is>
      </c>
      <c r="D27" s="5" t="n"/>
      <c r="E27" s="5" t="n"/>
      <c r="F27" s="20" t="inlineStr">
        <is>
          <t>粗利が「105%ライン」以上</t>
        </is>
      </c>
      <c r="G27" s="5" t="n"/>
      <c r="H27" s="5" t="n"/>
    </row>
    <row r="28">
      <c r="A28" s="21" t="inlineStr">
        <is>
          <t>店長</t>
        </is>
      </c>
      <c r="B28" s="5" t="n"/>
      <c r="C28" s="22" t="n">
        <v>12000</v>
      </c>
      <c r="D28" s="5" t="n"/>
      <c r="E28" s="5" t="n"/>
      <c r="F28" s="22" t="n">
        <v>20000</v>
      </c>
      <c r="G28" s="5" t="n"/>
      <c r="H28" s="5" t="n"/>
    </row>
    <row r="29">
      <c r="A29" s="21" t="inlineStr">
        <is>
          <t>パート（ベテラン）</t>
        </is>
      </c>
      <c r="B29" s="5" t="n"/>
      <c r="C29" s="22" t="n">
        <v>8000</v>
      </c>
      <c r="D29" s="5" t="n"/>
      <c r="E29" s="5" t="n"/>
      <c r="F29" s="22" t="n">
        <v>14000</v>
      </c>
      <c r="G29" s="5" t="n"/>
      <c r="H29" s="5" t="n"/>
    </row>
    <row r="30">
      <c r="A30" s="21" t="inlineStr">
        <is>
          <t>パート（1人あたり・2人）</t>
        </is>
      </c>
      <c r="B30" s="5" t="n"/>
      <c r="C30" s="22" t="n">
        <v>5000</v>
      </c>
      <c r="D30" s="5" t="n"/>
      <c r="E30" s="5" t="n"/>
      <c r="F30" s="22" t="n">
        <v>8000</v>
      </c>
      <c r="G30" s="5" t="n"/>
      <c r="H30" s="5" t="n"/>
    </row>
    <row r="31" ht="24" customHeight="1">
      <c r="A31" s="23" t="inlineStr">
        <is>
          <t>お店全体（月）</t>
        </is>
      </c>
      <c r="B31" s="5" t="n"/>
      <c r="C31" s="24">
        <f>C28+C29+C30*2</f>
        <v/>
      </c>
      <c r="D31" s="5" t="n"/>
      <c r="E31" s="5" t="n"/>
      <c r="F31" s="24">
        <f>F28+F29+F30*2</f>
        <v/>
      </c>
      <c r="G31" s="5" t="n"/>
      <c r="H31" s="5" t="n"/>
    </row>
    <row r="33">
      <c r="A33" s="25" t="inlineStr">
        <is>
          <t>例）粗利の目標が190万円の月（11月）の場合</t>
        </is>
      </c>
    </row>
    <row r="34">
      <c r="A34" s="20" t="inlineStr">
        <is>
          <t>その月の粗利</t>
        </is>
      </c>
      <c r="B34" s="5" t="n"/>
      <c r="C34" s="20" t="inlineStr">
        <is>
          <t>結果</t>
        </is>
      </c>
      <c r="D34" s="5" t="n"/>
      <c r="E34" s="5" t="n"/>
      <c r="F34" s="20" t="inlineStr">
        <is>
          <t>お店全体の報奨金</t>
        </is>
      </c>
      <c r="G34" s="5" t="n"/>
      <c r="H34" s="5" t="n"/>
    </row>
    <row r="35">
      <c r="A35" s="26" t="n">
        <v>188</v>
      </c>
      <c r="B35" s="5" t="n"/>
      <c r="C35" s="27" t="inlineStr">
        <is>
          <t>達成ラインに届かず</t>
        </is>
      </c>
      <c r="D35" s="5" t="n"/>
      <c r="E35" s="5" t="n"/>
      <c r="F35" s="28">
        <f>0</f>
        <v/>
      </c>
      <c r="G35" s="5" t="n"/>
      <c r="H35" s="5" t="n"/>
    </row>
    <row r="36">
      <c r="A36" s="26" t="n">
        <v>193</v>
      </c>
      <c r="B36" s="5" t="n"/>
      <c r="C36" s="27" t="inlineStr">
        <is>
          <t>達成ライン（190万円）以上</t>
        </is>
      </c>
      <c r="D36" s="5" t="n"/>
      <c r="E36" s="5" t="n"/>
      <c r="F36" s="28">
        <f>C31</f>
        <v/>
      </c>
      <c r="G36" s="5" t="n"/>
      <c r="H36" s="5" t="n"/>
    </row>
    <row r="37">
      <c r="A37" s="26" t="n">
        <v>202</v>
      </c>
      <c r="B37" s="5" t="n"/>
      <c r="C37" s="27" t="inlineStr">
        <is>
          <t>105%ライン（200万円）以上</t>
        </is>
      </c>
      <c r="D37" s="5" t="n"/>
      <c r="E37" s="5" t="n"/>
      <c r="F37" s="28">
        <f>F31</f>
        <v/>
      </c>
      <c r="G37" s="5" t="n"/>
      <c r="H37" s="5" t="n"/>
    </row>
    <row r="39">
      <c r="A39" s="3" t="inlineStr">
        <is>
          <t>4. 大事なルール</t>
        </is>
      </c>
    </row>
    <row r="40" ht="20" customHeight="1">
      <c r="A40" s="2" t="inlineStr">
        <is>
          <t>① 判定は売上ではなく「粗利」で行います。スマレジの粗利（税抜）を使います。</t>
        </is>
      </c>
    </row>
    <row r="41" ht="20" customHeight="1">
      <c r="A41" s="2" t="inlineStr">
        <is>
          <t>② 値引きをすると粗利が減ります。値引きで売上を伸ばしても、報奨金にはつながりにくい仕組みです。</t>
        </is>
      </c>
    </row>
    <row r="42" ht="20" customHeight="1">
      <c r="A42" s="2" t="inlineStr">
        <is>
          <t>③ 毎月その月だけで判定します。届かなかった月の不足は次の月に持ち越しません（次の月はまた新しく判定）。</t>
        </is>
      </c>
    </row>
    <row r="43" ht="20" customHeight="1">
      <c r="A43" s="2" t="inlineStr">
        <is>
          <t>④ 処分品（在庫処分の商品）は粗利の計算から除きます。</t>
        </is>
      </c>
    </row>
    <row r="45">
      <c r="A45" s="3" t="inlineStr">
        <is>
          <t>5. これから決めること（決まり次第お知らせします）</t>
        </is>
      </c>
    </row>
    <row r="46" ht="20" customHeight="1">
      <c r="A46" s="2" t="inlineStr">
        <is>
          <t>・報奨金の支払い方（毎月の給与に入れるか、夏・冬の賞与にまとめるか）</t>
        </is>
      </c>
    </row>
    <row r="47" ht="20" customHeight="1">
      <c r="A47" s="2" t="inlineStr">
        <is>
          <t>・どの月から始めるか</t>
        </is>
      </c>
    </row>
    <row r="48" ht="20" customHeight="1">
      <c r="A48" s="2" t="inlineStr">
        <is>
          <t>・「処分品」に入る商品の範囲</t>
        </is>
      </c>
    </row>
  </sheetData>
  <mergeCells count="46">
    <mergeCell ref="A48:H48"/>
    <mergeCell ref="A30:B30"/>
    <mergeCell ref="C6:D6"/>
    <mergeCell ref="F36:H36"/>
    <mergeCell ref="A24:H24"/>
    <mergeCell ref="C31:E31"/>
    <mergeCell ref="C5:D5"/>
    <mergeCell ref="F35:H35"/>
    <mergeCell ref="E5:F5"/>
    <mergeCell ref="A36:B36"/>
    <mergeCell ref="A1:H1"/>
    <mergeCell ref="A6:B6"/>
    <mergeCell ref="C36:E36"/>
    <mergeCell ref="C27:E27"/>
    <mergeCell ref="F28:H28"/>
    <mergeCell ref="A7:H7"/>
    <mergeCell ref="F31:H31"/>
    <mergeCell ref="F27:H27"/>
    <mergeCell ref="F30:H30"/>
    <mergeCell ref="A37:B37"/>
    <mergeCell ref="A41:H41"/>
    <mergeCell ref="G6:H6"/>
    <mergeCell ref="A46:H46"/>
    <mergeCell ref="A27:B27"/>
    <mergeCell ref="F37:H37"/>
    <mergeCell ref="E6:F6"/>
    <mergeCell ref="C28:E28"/>
    <mergeCell ref="C37:E37"/>
    <mergeCell ref="A2:H2"/>
    <mergeCell ref="A5:B5"/>
    <mergeCell ref="G5:H5"/>
    <mergeCell ref="A42:H42"/>
    <mergeCell ref="A47:H47"/>
    <mergeCell ref="C30:E30"/>
    <mergeCell ref="F29:H29"/>
    <mergeCell ref="C34:E34"/>
    <mergeCell ref="A35:B35"/>
    <mergeCell ref="F34:H34"/>
    <mergeCell ref="A29:B29"/>
    <mergeCell ref="A43:H43"/>
    <mergeCell ref="A28:B28"/>
    <mergeCell ref="C29:E29"/>
    <mergeCell ref="A31:B31"/>
    <mergeCell ref="C35:E35"/>
    <mergeCell ref="A34:B34"/>
    <mergeCell ref="A40:H40"/>
  </mergeCells>
  <pageMargins left="0.5" right="0.5" top="0.5" bottom="0.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2026-10-07T02:54:42Z</dcterms:created>
  <dcterms:modified xmlns:dcterms="http://purl.org/dc/terms/" xmlns:xsi="http://www.w3.org/2001/XMLSchema-instance" xsi:type="dcterms:W3CDTF">2026-10-07T02:54:42Z</dcterms:modified>
</cp:coreProperties>
</file>