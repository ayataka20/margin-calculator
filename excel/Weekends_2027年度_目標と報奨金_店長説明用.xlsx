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taka-02\AppData\Local\Temp\claude\C--Users-yataka-02-Desktop-Claude\76fa42a7-01fc-42d8-86c7-11cf90447c56\scratchpad\margin-calculator\excel\"/>
    </mc:Choice>
  </mc:AlternateContent>
  <xr:revisionPtr revIDLastSave="0" documentId="13_ncr:1_{44929888-FD82-4D28-9B4F-64E82DFF09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目標と報奨金" sheetId="1" r:id="rId1"/>
  </sheets>
  <definedNames>
    <definedName name="_xlnm.Print_Area" localSheetId="0">目標と報奨金!$A$1:$H$48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F31" i="1"/>
  <c r="F37" i="1" s="1"/>
  <c r="C31" i="1"/>
  <c r="F36" i="1" s="1"/>
  <c r="F23" i="1"/>
  <c r="E23" i="1"/>
  <c r="A6" i="1" s="1"/>
  <c r="D23" i="1"/>
  <c r="G6" i="1" s="1"/>
  <c r="C23" i="1"/>
  <c r="B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G23" i="1" l="1"/>
  <c r="H23" i="1"/>
  <c r="C6" i="1"/>
  <c r="E6" i="1" s="1"/>
</calcChain>
</file>

<file path=xl/sharedStrings.xml><?xml version="1.0" encoding="utf-8"?>
<sst xmlns="http://schemas.openxmlformats.org/spreadsheetml/2006/main" count="54" uniqueCount="53">
  <si>
    <t>Weekends　2027年度（2026年8月〜2027年7月）の目標と報奨金について（案）</t>
  </si>
  <si>
    <t>毎月の「粗利」の目標を達成したら、お店のみんなに報奨金を出します。金額はすべて税抜です。</t>
  </si>
  <si>
    <t>1. 1年間の目標</t>
  </si>
  <si>
    <t>売上の目標</t>
  </si>
  <si>
    <t>粗利の目標</t>
  </si>
  <si>
    <t>粗利率（粗利÷売上）</t>
  </si>
  <si>
    <t>前年の売上（参考）</t>
  </si>
  <si>
    <t>月ごとの目標は、店長さんがスマレジに登録した予算（年6,000万円）の月ごとの比率をもとに決めました。売上の少ない月（8・9・2・4・5・7月）も、お店の経費をまかなえるよう粗利180万円・売上530万円にしています。</t>
  </si>
  <si>
    <t>2. 月ごとの目標</t>
  </si>
  <si>
    <t>月</t>
  </si>
  <si>
    <t>営業日数
（水曜休み
を除く）</t>
  </si>
  <si>
    <t>店長さんの予算
（スマレジ）</t>
  </si>
  <si>
    <t>前年の売上
（参考）</t>
  </si>
  <si>
    <t>粗利の目標
（達成ライン）</t>
  </si>
  <si>
    <t>粗利の目標
（105%
ライン）</t>
  </si>
  <si>
    <t>1日あたり
粗利の目安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</si>
  <si>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</si>
  <si>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</si>
  <si>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</si>
  <si>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</si>
  <si>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</si>
  <si>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</si>
  <si>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</si>
  <si>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</si>
  <si>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</si>
  <si>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</si>
  <si>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</si>
  <si>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7月</t>
  </si>
  <si>
    <t>年計</t>
  </si>
  <si>
    <t>・色の付いた「粗利の目標（達成ライン）」が報奨金の判定に使う数字です。売上の目標は目安です。
・前年の売上は1万円未満を四捨五入。営業日数は水曜休みだけを除いた日数です（臨時休業があれば1日あたりの目安は少し上がります）。</t>
  </si>
  <si>
    <t>3. 報奨金のしくみ（毎月、その月の粗利で判定します）</t>
  </si>
  <si>
    <t>粗利が「達成ライン」以上</t>
  </si>
  <si>
    <t>粗利が「105%ライン」以上</t>
  </si>
  <si>
    <t>店長</t>
  </si>
  <si>
    <t>パート（ベテラン）</t>
  </si>
  <si>
    <t>パート（1人あたり・2人）</t>
  </si>
  <si>
    <t>お店全体（月）</t>
  </si>
  <si>
    <t>例）粗利の目標が200万円の月（10月）の場合</t>
  </si>
  <si>
    <t>その月の粗利</t>
  </si>
  <si>
    <t>結果</t>
  </si>
  <si>
    <t>お店全体の報奨金</t>
  </si>
  <si>
    <t>達成ラインに届かず</t>
  </si>
  <si>
    <t>達成ライン（200万円）以上</t>
  </si>
  <si>
    <t>105%ライン（210万円）以上</t>
  </si>
  <si>
    <t>4. 大事なルール</t>
  </si>
  <si>
    <t>① 判定は売上ではなく「粗利」で行います。スマレジの粗利（税抜）を使います。</t>
  </si>
  <si>
    <t>② 値引きをすると粗利が減ります。値引きで売上を伸ばしても、報奨金にはつながりにくい仕組みです。</t>
  </si>
  <si>
    <t>③ 毎月その月だけで判定します。届かなかった月の不足は次の月に持ち越しません（次の月はまた新しく判定）。</t>
  </si>
  <si>
    <t>④ 処分品（在庫処分の商品）は粗利の計算から除きます。</t>
  </si>
  <si>
    <t>5. これから決めること（決まり次第お知らせします）</t>
  </si>
  <si>
    <t>・報奨金の支払い方（毎月の給与に入れるか、夏・冬の賞与にまとめるか）</t>
  </si>
  <si>
    <t>・どの月から始めるか</t>
  </si>
  <si>
    <t>・「処分品」に入る商品の範囲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</si>
</sst>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&quot;万円&quot;"/>
    <numFmt numFmtId="177" formatCode="0.0%"/>
    <numFmt numFmtId="178" formatCode="0&quot;日&quot;"/>
    <numFmt numFmtId="179" formatCode="#,##0.0&quot;万円&quot;"/>
    <numFmt numFmtId="180" formatCode="#,##0&quot;円&quot;"/>
  </numFmts>
  <fonts count="10">
    <font>
      <sz val="11"/>
      <color theme="1"/>
      <name val="ＭＳ Ｐゴシック"/>
      <family val="2"/>
      <scheme val="minor"/>
    </font>
    <font>
      <b/>
      <sz val="15"/>
      <name val="Meiryo UI"/>
      <family val="3"/>
      <charset val="128"/>
    </font>
    <font>
      <sz val="11"/>
      <name val="Meiryo UI"/>
      <family val="3"/>
      <charset val="128"/>
    </font>
    <font>
      <b/>
      <sz val="12"/>
      <name val="Meiryo UI"/>
      <family val="3"/>
      <charset val="128"/>
    </font>
    <font>
      <b/>
      <sz val="11"/>
      <name val="Meiryo UI"/>
      <family val="3"/>
      <charset val="128"/>
    </font>
    <font>
      <b/>
      <sz val="16"/>
      <name val="Meiryo UI"/>
      <family val="3"/>
      <charset val="128"/>
    </font>
    <font>
      <sz val="10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3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EEF5"/>
      </patternFill>
    </fill>
    <fill>
      <patternFill patternType="solid">
        <fgColor rgb="FF073F5F"/>
      </patternFill>
    </fill>
    <fill>
      <patternFill patternType="solid">
        <fgColor rgb="FFFBEFD5"/>
      </patternFill>
    </fill>
  </fills>
  <borders count="2">
    <border>
      <left/>
      <right/>
      <top/>
      <bottom/>
      <diagonal/>
    </border>
    <border>
      <left style="thin">
        <color rgb="FFB7C4CF"/>
      </left>
      <right style="thin">
        <color rgb="FFB7C4CF"/>
      </right>
      <top style="thin">
        <color rgb="FFB7C4CF"/>
      </top>
      <bottom style="thin">
        <color rgb="FFB7C4C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vertical="center"/>
    </xf>
    <xf numFmtId="176" fontId="4" fillId="4" borderId="1" xfId="0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vertical="center"/>
    </xf>
    <xf numFmtId="179" fontId="4" fillId="2" borderId="1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/>
    <xf numFmtId="0" fontId="4" fillId="0" borderId="1" xfId="0" applyFont="1" applyBorder="1" applyAlignment="1">
      <alignment vertical="center"/>
    </xf>
    <xf numFmtId="0" fontId="0" fillId="0" borderId="1" xfId="0" applyBorder="1"/>
    <xf numFmtId="176" fontId="5" fillId="0" borderId="1" xfId="0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180" fontId="8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77" fontId="5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"/>
  <sheetViews>
    <sheetView showGridLines="0" tabSelected="1" workbookViewId="0">
      <selection sqref="A1:H1"/>
    </sheetView>
  </sheetViews>
  <sheetFormatPr defaultRowHeight="13.2"/>
  <cols>
    <col min="1" max="1" width="11" customWidth="1"/>
    <col min="2" max="2" width="12" customWidth="1"/>
    <col min="3" max="3" width="15" customWidth="1"/>
    <col min="4" max="5" width="13" customWidth="1"/>
    <col min="6" max="8" width="14" customWidth="1"/>
  </cols>
  <sheetData>
    <row r="1" spans="1:8" ht="28.05" customHeight="1">
      <c r="A1" s="23" t="s">
        <v>0</v>
      </c>
      <c r="B1" s="14"/>
      <c r="C1" s="14"/>
      <c r="D1" s="14"/>
      <c r="E1" s="14"/>
      <c r="F1" s="14"/>
      <c r="G1" s="14"/>
      <c r="H1" s="14"/>
    </row>
    <row r="2" spans="1:8" ht="19.95" customHeight="1">
      <c r="A2" s="13" t="s">
        <v>1</v>
      </c>
      <c r="B2" s="14"/>
      <c r="C2" s="14"/>
      <c r="D2" s="14"/>
      <c r="E2" s="14"/>
      <c r="F2" s="14"/>
      <c r="G2" s="14"/>
      <c r="H2" s="14"/>
    </row>
    <row r="4" spans="1:8" ht="16.2">
      <c r="A4" s="1" t="s">
        <v>2</v>
      </c>
    </row>
    <row r="5" spans="1:8">
      <c r="A5" s="21" t="s">
        <v>3</v>
      </c>
      <c r="B5" s="16"/>
      <c r="C5" s="21" t="s">
        <v>4</v>
      </c>
      <c r="D5" s="16"/>
      <c r="E5" s="21" t="s">
        <v>5</v>
      </c>
      <c r="F5" s="16"/>
      <c r="G5" s="21" t="s">
        <v>6</v>
      </c>
      <c r="H5" s="16"/>
    </row>
    <row r="6" spans="1:8" ht="30" customHeight="1">
      <c r="A6" s="17">
        <f>E23</f>
        <v>6860</v>
      </c>
      <c r="B6" s="16"/>
      <c r="C6" s="17">
        <f>F23</f>
        <v>2340</v>
      </c>
      <c r="D6" s="16"/>
      <c r="E6" s="28">
        <f>C6/A6</f>
        <v>0.34110787172011664</v>
      </c>
      <c r="F6" s="16"/>
      <c r="G6" s="17">
        <f>D23</f>
        <v>5366</v>
      </c>
      <c r="H6" s="16"/>
    </row>
    <row r="7" spans="1:8" ht="30" customHeight="1">
      <c r="A7" s="19" t="s">
        <v>7</v>
      </c>
      <c r="B7" s="14"/>
      <c r="C7" s="14"/>
      <c r="D7" s="14"/>
      <c r="E7" s="14"/>
      <c r="F7" s="14"/>
      <c r="G7" s="14"/>
      <c r="H7" s="14"/>
    </row>
    <row r="9" spans="1:8" ht="16.2">
      <c r="A9" s="1" t="s">
        <v>8</v>
      </c>
    </row>
    <row r="10" spans="1:8" ht="49.95" customHeight="1">
      <c r="A10" s="2" t="s">
        <v>9</v>
      </c>
      <c r="B10" s="2" t="s">
        <v>10</v>
      </c>
      <c r="C10" s="2" t="s">
        <v>11</v>
      </c>
      <c r="D10" s="2" t="s">
        <v>12</v>
      </c>
      <c r="E10" s="2" t="s">
        <v>3</v>
      </c>
      <c r="F10" s="2" t="s">
        <v>13</v>
      </c>
      <c r="G10" s="2" t="s">
        <v>14</v>
      </c>
      <c r="H10" s="2" t="s">
        <v>15</v>
      </c>
    </row>
    <row r="11" spans="1:8" ht="15">
      <c r="A11" s="3" t="s">
        <v>16</v>
      </c>
      <c r="B11" s="4">
        <v>27</v>
      </c>
      <c r="C11" s="5">
        <v>350</v>
      </c>
      <c r="D11" s="5">
        <v>304</v>
      </c>
      <c r="E11" s="5">
        <v>530</v>
      </c>
      <c r="F11" s="6">
        <v>180</v>
      </c>
      <c r="G11" s="5">
        <f t="shared" ref="G11:G22" si="0">ROUND(F11*1.05/5,0)*5</f>
        <v>190</v>
      </c>
      <c r="H11" s="7">
        <f t="shared" ref="H11:H23" si="1">F11/B11</f>
        <v>6.666666666666667</v>
      </c>
    </row>
    <row r="12" spans="1:8" ht="15">
      <c r="A12" s="3" t="s">
        <v>17</v>
      </c>
      <c r="B12" s="4">
        <v>25</v>
      </c>
      <c r="C12" s="5">
        <v>450</v>
      </c>
      <c r="D12" s="5">
        <v>364</v>
      </c>
      <c r="E12" s="5">
        <v>530</v>
      </c>
      <c r="F12" s="6">
        <v>180</v>
      </c>
      <c r="G12" s="5">
        <f t="shared" si="0"/>
        <v>190</v>
      </c>
      <c r="H12" s="7">
        <f t="shared" si="1"/>
        <v>7.2</v>
      </c>
    </row>
    <row r="13" spans="1:8" ht="15">
      <c r="A13" s="3" t="s">
        <v>18</v>
      </c>
      <c r="B13" s="4">
        <v>27</v>
      </c>
      <c r="C13" s="5">
        <v>550</v>
      </c>
      <c r="D13" s="5">
        <v>493</v>
      </c>
      <c r="E13" s="5">
        <v>580</v>
      </c>
      <c r="F13" s="6">
        <v>200</v>
      </c>
      <c r="G13" s="5">
        <f t="shared" si="0"/>
        <v>210</v>
      </c>
      <c r="H13" s="7">
        <f t="shared" si="1"/>
        <v>7.4074074074074074</v>
      </c>
    </row>
    <row r="14" spans="1:8" ht="15">
      <c r="A14" s="3" t="s">
        <v>19</v>
      </c>
      <c r="B14" s="4">
        <v>26</v>
      </c>
      <c r="C14" s="5">
        <v>550</v>
      </c>
      <c r="D14" s="5">
        <v>515</v>
      </c>
      <c r="E14" s="5">
        <v>580</v>
      </c>
      <c r="F14" s="6">
        <v>200</v>
      </c>
      <c r="G14" s="5">
        <f t="shared" si="0"/>
        <v>210</v>
      </c>
      <c r="H14" s="7">
        <f t="shared" si="1"/>
        <v>7.6923076923076925</v>
      </c>
    </row>
    <row r="15" spans="1:8" ht="15">
      <c r="A15" s="3" t="s">
        <v>20</v>
      </c>
      <c r="B15" s="4">
        <v>26</v>
      </c>
      <c r="C15" s="5">
        <v>700</v>
      </c>
      <c r="D15" s="5">
        <v>682</v>
      </c>
      <c r="E15" s="5">
        <v>730</v>
      </c>
      <c r="F15" s="6">
        <v>250</v>
      </c>
      <c r="G15" s="5">
        <f t="shared" si="0"/>
        <v>265</v>
      </c>
      <c r="H15" s="7">
        <f t="shared" si="1"/>
        <v>9.615384615384615</v>
      </c>
    </row>
    <row r="16" spans="1:8" ht="15">
      <c r="A16" s="3" t="s">
        <v>21</v>
      </c>
      <c r="B16" s="4">
        <v>27</v>
      </c>
      <c r="C16" s="5">
        <v>600</v>
      </c>
      <c r="D16" s="5">
        <v>485</v>
      </c>
      <c r="E16" s="5">
        <v>630</v>
      </c>
      <c r="F16" s="6">
        <v>210</v>
      </c>
      <c r="G16" s="5">
        <f t="shared" si="0"/>
        <v>220</v>
      </c>
      <c r="H16" s="7">
        <f t="shared" si="1"/>
        <v>7.7777777777777777</v>
      </c>
    </row>
    <row r="17" spans="1:8" ht="15">
      <c r="A17" s="3" t="s">
        <v>22</v>
      </c>
      <c r="B17" s="4">
        <v>24</v>
      </c>
      <c r="C17" s="5">
        <v>350</v>
      </c>
      <c r="D17" s="5">
        <v>280</v>
      </c>
      <c r="E17" s="5">
        <v>530</v>
      </c>
      <c r="F17" s="6">
        <v>180</v>
      </c>
      <c r="G17" s="5">
        <f t="shared" si="0"/>
        <v>190</v>
      </c>
      <c r="H17" s="7">
        <f t="shared" si="1"/>
        <v>7.5</v>
      </c>
    </row>
    <row r="18" spans="1:8" ht="15">
      <c r="A18" s="3" t="s">
        <v>23</v>
      </c>
      <c r="B18" s="4">
        <v>26</v>
      </c>
      <c r="C18" s="5">
        <v>550</v>
      </c>
      <c r="D18" s="5">
        <v>442</v>
      </c>
      <c r="E18" s="5">
        <v>580</v>
      </c>
      <c r="F18" s="6">
        <v>200</v>
      </c>
      <c r="G18" s="5">
        <f t="shared" si="0"/>
        <v>210</v>
      </c>
      <c r="H18" s="7">
        <f t="shared" si="1"/>
        <v>7.6923076923076925</v>
      </c>
    </row>
    <row r="19" spans="1:8" ht="15">
      <c r="A19" s="3" t="s">
        <v>24</v>
      </c>
      <c r="B19" s="4">
        <v>26</v>
      </c>
      <c r="C19" s="5">
        <v>450</v>
      </c>
      <c r="D19" s="5">
        <v>358</v>
      </c>
      <c r="E19" s="5">
        <v>530</v>
      </c>
      <c r="F19" s="6">
        <v>180</v>
      </c>
      <c r="G19" s="5">
        <f t="shared" si="0"/>
        <v>190</v>
      </c>
      <c r="H19" s="7">
        <f t="shared" si="1"/>
        <v>6.9230769230769234</v>
      </c>
    </row>
    <row r="20" spans="1:8" ht="15">
      <c r="A20" s="3" t="s">
        <v>25</v>
      </c>
      <c r="B20" s="4">
        <v>27</v>
      </c>
      <c r="C20" s="5">
        <v>450</v>
      </c>
      <c r="D20" s="5">
        <v>480</v>
      </c>
      <c r="E20" s="5">
        <v>530</v>
      </c>
      <c r="F20" s="6">
        <v>180</v>
      </c>
      <c r="G20" s="5">
        <f t="shared" si="0"/>
        <v>190</v>
      </c>
      <c r="H20" s="7">
        <f t="shared" si="1"/>
        <v>6.666666666666667</v>
      </c>
    </row>
    <row r="21" spans="1:8" ht="15">
      <c r="A21" s="3" t="s">
        <v>26</v>
      </c>
      <c r="B21" s="4">
        <v>25</v>
      </c>
      <c r="C21" s="5">
        <v>550</v>
      </c>
      <c r="D21" s="5">
        <v>489</v>
      </c>
      <c r="E21" s="5">
        <v>580</v>
      </c>
      <c r="F21" s="6">
        <v>200</v>
      </c>
      <c r="G21" s="5">
        <f t="shared" si="0"/>
        <v>210</v>
      </c>
      <c r="H21" s="7">
        <f t="shared" si="1"/>
        <v>8</v>
      </c>
    </row>
    <row r="22" spans="1:8" ht="15">
      <c r="A22" s="3" t="s">
        <v>27</v>
      </c>
      <c r="B22" s="4">
        <v>27</v>
      </c>
      <c r="C22" s="5">
        <v>450</v>
      </c>
      <c r="D22" s="5">
        <v>474</v>
      </c>
      <c r="E22" s="5">
        <v>530</v>
      </c>
      <c r="F22" s="6">
        <v>180</v>
      </c>
      <c r="G22" s="5">
        <f t="shared" si="0"/>
        <v>190</v>
      </c>
      <c r="H22" s="7">
        <f t="shared" si="1"/>
        <v>6.666666666666667</v>
      </c>
    </row>
    <row r="23" spans="1:8" ht="15">
      <c r="A23" s="8" t="s">
        <v>28</v>
      </c>
      <c r="B23" s="9">
        <f t="shared" ref="B23:G23" si="2">SUM(B11:B22)</f>
        <v>313</v>
      </c>
      <c r="C23" s="10">
        <f t="shared" si="2"/>
        <v>6000</v>
      </c>
      <c r="D23" s="10">
        <f t="shared" si="2"/>
        <v>5366</v>
      </c>
      <c r="E23" s="10">
        <f t="shared" si="2"/>
        <v>6860</v>
      </c>
      <c r="F23" s="10">
        <f t="shared" si="2"/>
        <v>2340</v>
      </c>
      <c r="G23" s="10">
        <f t="shared" si="2"/>
        <v>2465</v>
      </c>
      <c r="H23" s="11">
        <f t="shared" si="1"/>
        <v>7.4760383386581468</v>
      </c>
    </row>
    <row r="24" spans="1:8" ht="36" customHeight="1">
      <c r="A24" s="19" t="s">
        <v>29</v>
      </c>
      <c r="B24" s="14"/>
      <c r="C24" s="14"/>
      <c r="D24" s="14"/>
      <c r="E24" s="14"/>
      <c r="F24" s="14"/>
      <c r="G24" s="14"/>
      <c r="H24" s="14"/>
    </row>
    <row r="26" spans="1:8" ht="16.2">
      <c r="A26" s="1" t="s">
        <v>30</v>
      </c>
    </row>
    <row r="27" spans="1:8" ht="15">
      <c r="A27" s="27"/>
      <c r="B27" s="16"/>
      <c r="C27" s="25" t="s">
        <v>31</v>
      </c>
      <c r="D27" s="16"/>
      <c r="E27" s="16"/>
      <c r="F27" s="25" t="s">
        <v>32</v>
      </c>
      <c r="G27" s="16"/>
      <c r="H27" s="16"/>
    </row>
    <row r="28" spans="1:8" ht="15">
      <c r="A28" s="15" t="s">
        <v>33</v>
      </c>
      <c r="B28" s="16"/>
      <c r="C28" s="26">
        <v>12000</v>
      </c>
      <c r="D28" s="16"/>
      <c r="E28" s="16"/>
      <c r="F28" s="26">
        <v>20000</v>
      </c>
      <c r="G28" s="16"/>
      <c r="H28" s="16"/>
    </row>
    <row r="29" spans="1:8" ht="15">
      <c r="A29" s="15" t="s">
        <v>34</v>
      </c>
      <c r="B29" s="16"/>
      <c r="C29" s="26">
        <v>8000</v>
      </c>
      <c r="D29" s="16"/>
      <c r="E29" s="16"/>
      <c r="F29" s="26">
        <v>14000</v>
      </c>
      <c r="G29" s="16"/>
      <c r="H29" s="16"/>
    </row>
    <row r="30" spans="1:8" ht="15">
      <c r="A30" s="15" t="s">
        <v>35</v>
      </c>
      <c r="B30" s="16"/>
      <c r="C30" s="26">
        <v>5000</v>
      </c>
      <c r="D30" s="16"/>
      <c r="E30" s="16"/>
      <c r="F30" s="26">
        <v>8000</v>
      </c>
      <c r="G30" s="16"/>
      <c r="H30" s="16"/>
    </row>
    <row r="31" spans="1:8" ht="24" customHeight="1">
      <c r="A31" s="29" t="s">
        <v>36</v>
      </c>
      <c r="B31" s="16"/>
      <c r="C31" s="20">
        <f>C28+C29+C30*2</f>
        <v>30000</v>
      </c>
      <c r="D31" s="16"/>
      <c r="E31" s="16"/>
      <c r="F31" s="20">
        <f>F28+F29+F30*2</f>
        <v>50000</v>
      </c>
      <c r="G31" s="16"/>
      <c r="H31" s="16"/>
    </row>
    <row r="33" spans="1:8" ht="15">
      <c r="A33" s="12" t="s">
        <v>37</v>
      </c>
    </row>
    <row r="34" spans="1:8" ht="15">
      <c r="A34" s="25" t="s">
        <v>38</v>
      </c>
      <c r="B34" s="16"/>
      <c r="C34" s="25" t="s">
        <v>39</v>
      </c>
      <c r="D34" s="16"/>
      <c r="E34" s="16"/>
      <c r="F34" s="25" t="s">
        <v>40</v>
      </c>
      <c r="G34" s="16"/>
      <c r="H34" s="16"/>
    </row>
    <row r="35" spans="1:8" ht="15">
      <c r="A35" s="22">
        <v>198</v>
      </c>
      <c r="B35" s="16"/>
      <c r="C35" s="24" t="s">
        <v>41</v>
      </c>
      <c r="D35" s="16"/>
      <c r="E35" s="16"/>
      <c r="F35" s="18">
        <f>0</f>
        <v>0</v>
      </c>
      <c r="G35" s="16"/>
      <c r="H35" s="16"/>
    </row>
    <row r="36" spans="1:8" ht="15">
      <c r="A36" s="22">
        <v>203</v>
      </c>
      <c r="B36" s="16"/>
      <c r="C36" s="24" t="s">
        <v>42</v>
      </c>
      <c r="D36" s="16"/>
      <c r="E36" s="16"/>
      <c r="F36" s="18">
        <f>C31</f>
        <v>30000</v>
      </c>
      <c r="G36" s="16"/>
      <c r="H36" s="16"/>
    </row>
    <row r="37" spans="1:8" ht="15">
      <c r="A37" s="22">
        <v>212</v>
      </c>
      <c r="B37" s="16"/>
      <c r="C37" s="24" t="s">
        <v>43</v>
      </c>
      <c r="D37" s="16"/>
      <c r="E37" s="16"/>
      <c r="F37" s="18">
        <f>F31</f>
        <v>50000</v>
      </c>
      <c r="G37" s="16"/>
      <c r="H37" s="16"/>
    </row>
    <row r="39" spans="1:8" ht="16.2">
      <c r="A39" s="1" t="s">
        <v>44</v>
      </c>
    </row>
    <row r="40" spans="1:8" ht="19.95" customHeight="1">
      <c r="A40" s="13" t="s">
        <v>45</v>
      </c>
      <c r="B40" s="14"/>
      <c r="C40" s="14"/>
      <c r="D40" s="14"/>
      <c r="E40" s="14"/>
      <c r="F40" s="14"/>
      <c r="G40" s="14"/>
      <c r="H40" s="14"/>
    </row>
    <row r="41" spans="1:8" ht="19.95" customHeight="1">
      <c r="A41" s="13" t="s">
        <v>46</v>
      </c>
      <c r="B41" s="14"/>
      <c r="C41" s="14"/>
      <c r="D41" s="14"/>
      <c r="E41" s="14"/>
      <c r="F41" s="14"/>
      <c r="G41" s="14"/>
      <c r="H41" s="14"/>
    </row>
    <row r="42" spans="1:8" ht="19.95" customHeight="1">
      <c r="A42" s="13" t="s">
        <v>47</v>
      </c>
      <c r="B42" s="14"/>
      <c r="C42" s="14"/>
      <c r="D42" s="14"/>
      <c r="E42" s="14"/>
      <c r="F42" s="14"/>
      <c r="G42" s="14"/>
      <c r="H42" s="14"/>
    </row>
    <row r="43" spans="1:8" ht="19.95" customHeight="1">
      <c r="A43" s="13" t="s">
        <v>48</v>
      </c>
      <c r="B43" s="14"/>
      <c r="C43" s="14"/>
      <c r="D43" s="14"/>
      <c r="E43" s="14"/>
      <c r="F43" s="14"/>
      <c r="G43" s="14"/>
      <c r="H43" s="14"/>
    </row>
    <row r="45" spans="1:8" ht="16.2">
      <c r="A45" s="1" t="s">
        <v>49</v>
      </c>
    </row>
    <row r="46" spans="1:8" ht="19.95" customHeight="1">
      <c r="A46" s="13" t="s">
        <v>50</v>
      </c>
      <c r="B46" s="14"/>
      <c r="C46" s="14"/>
      <c r="D46" s="14"/>
      <c r="E46" s="14"/>
      <c r="F46" s="14"/>
      <c r="G46" s="14"/>
      <c r="H46" s="14"/>
    </row>
    <row r="47" spans="1:8" ht="19.95" customHeight="1">
      <c r="A47" s="13" t="s">
        <v>51</v>
      </c>
      <c r="B47" s="14"/>
      <c r="C47" s="14"/>
      <c r="D47" s="14"/>
      <c r="E47" s="14"/>
      <c r="F47" s="14"/>
      <c r="G47" s="14"/>
      <c r="H47" s="14"/>
    </row>
    <row r="48" spans="1:8" ht="19.95" customHeight="1">
      <c r="A48" s="13" t="s">
        <v>52</v>
      </c>
      <c r="B48" s="14"/>
      <c r="C48" s="14"/>
      <c r="D48" s="14"/>
      <c r="E48" s="14"/>
      <c r="F48" s="14"/>
      <c r="G48" s="14"/>
      <c r="H48" s="14"/>
    </row>
  </sheetData>
  <mergeCells count="46">
    <mergeCell ref="A2:H2"/>
    <mergeCell ref="A5:B5"/>
    <mergeCell ref="G5:H5"/>
    <mergeCell ref="A42:H42"/>
    <mergeCell ref="A47:H47"/>
    <mergeCell ref="C30:E30"/>
    <mergeCell ref="F29:H29"/>
    <mergeCell ref="C34:E34"/>
    <mergeCell ref="A35:B35"/>
    <mergeCell ref="F34:H34"/>
    <mergeCell ref="A29:B29"/>
    <mergeCell ref="A43:H43"/>
    <mergeCell ref="A28:B28"/>
    <mergeCell ref="C29:E29"/>
    <mergeCell ref="A31:B31"/>
    <mergeCell ref="C35:E35"/>
    <mergeCell ref="C5:D5"/>
    <mergeCell ref="F35:H35"/>
    <mergeCell ref="E5:F5"/>
    <mergeCell ref="A36:B36"/>
    <mergeCell ref="A1:H1"/>
    <mergeCell ref="A6:B6"/>
    <mergeCell ref="C36:E36"/>
    <mergeCell ref="C27:E27"/>
    <mergeCell ref="F28:H28"/>
    <mergeCell ref="A7:H7"/>
    <mergeCell ref="F31:H31"/>
    <mergeCell ref="F27:H27"/>
    <mergeCell ref="F30:H30"/>
    <mergeCell ref="G6:H6"/>
    <mergeCell ref="A27:B27"/>
    <mergeCell ref="E6:F6"/>
    <mergeCell ref="A48:H48"/>
    <mergeCell ref="A30:B30"/>
    <mergeCell ref="C6:D6"/>
    <mergeCell ref="F36:H36"/>
    <mergeCell ref="A24:H24"/>
    <mergeCell ref="C31:E31"/>
    <mergeCell ref="A37:B37"/>
    <mergeCell ref="A41:H41"/>
    <mergeCell ref="A46:H46"/>
    <mergeCell ref="F37:H37"/>
    <mergeCell ref="C28:E28"/>
    <mergeCell ref="C37:E37"/>
    <mergeCell ref="A34:B34"/>
    <mergeCell ref="A40:H40"/>
  </mergeCells>
  <phoneticPr fontId="9"/>
  <pageMargins left="0.5" right="0.5" top="0.5" bottom="0.5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目標と報奨金</vt:lpstr>
      <vt:lpstr>目標と報奨金!Print_Area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家高05</cp:lastModifiedBy>
  <dcterms:created xsi:type="dcterms:W3CDTF">2026-10-06T12:18:15Z</dcterms:created>
  <dcterms:modified xsi:type="dcterms:W3CDTF">2026-10-06T12:18:20Z</dcterms:modified>
</cp:coreProperties>
</file>