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819AFA66-CC0C-414B-AC7E-F18F510863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別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2" l="1"/>
  <c r="D48" i="2"/>
  <c r="C48" i="2"/>
  <c r="B48" i="2"/>
  <c r="F48" i="2" s="1"/>
  <c r="E47" i="2"/>
  <c r="D47" i="2"/>
  <c r="C47" i="2"/>
  <c r="B47" i="2"/>
  <c r="F47" i="2" s="1"/>
  <c r="F46" i="2"/>
  <c r="E46" i="2"/>
  <c r="D46" i="2"/>
  <c r="C46" i="2"/>
  <c r="B46" i="2"/>
  <c r="E45" i="2"/>
  <c r="D45" i="2"/>
  <c r="C45" i="2"/>
  <c r="B45" i="2"/>
  <c r="F45" i="2" s="1"/>
  <c r="E43" i="2"/>
  <c r="D43" i="2"/>
  <c r="C43" i="2"/>
  <c r="B43" i="2"/>
  <c r="B39" i="2"/>
  <c r="D25" i="2"/>
  <c r="D26" i="2" s="1"/>
  <c r="C25" i="2"/>
  <c r="B25" i="2"/>
  <c r="D16" i="2"/>
  <c r="C16" i="2"/>
  <c r="B14" i="2"/>
  <c r="D13" i="2"/>
  <c r="C13" i="2"/>
  <c r="D12" i="2"/>
  <c r="C12" i="2"/>
  <c r="D11" i="2"/>
  <c r="D9" i="2"/>
  <c r="C9" i="2"/>
  <c r="B8" i="2"/>
  <c r="C7" i="2"/>
  <c r="B4" i="1" s="1"/>
  <c r="C6" i="2"/>
  <c r="L19" i="1"/>
  <c r="K19" i="1"/>
  <c r="F19" i="1"/>
  <c r="C4" i="1" s="1"/>
  <c r="E19" i="1"/>
  <c r="C19" i="1"/>
  <c r="B19" i="1"/>
  <c r="M18" i="1"/>
  <c r="L18" i="1"/>
  <c r="H18" i="1"/>
  <c r="I18" i="1" s="1"/>
  <c r="G18" i="1"/>
  <c r="D18" i="1"/>
  <c r="M17" i="1"/>
  <c r="L17" i="1"/>
  <c r="H17" i="1"/>
  <c r="I17" i="1" s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L7" i="1"/>
  <c r="G7" i="1"/>
  <c r="D7" i="1"/>
  <c r="M19" i="1" l="1"/>
  <c r="G19" i="1"/>
  <c r="D19" i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E44" i="2"/>
  <c r="E49" i="2" s="1"/>
  <c r="D44" i="2"/>
  <c r="D49" i="2" s="1"/>
  <c r="C44" i="2"/>
  <c r="C49" i="2" s="1"/>
  <c r="B44" i="2"/>
  <c r="C26" i="2"/>
  <c r="D10" i="2"/>
  <c r="D14" i="2" s="1"/>
  <c r="C10" i="2"/>
  <c r="G4" i="1" s="1"/>
  <c r="C11" i="2"/>
  <c r="A4" i="1"/>
  <c r="D6" i="2"/>
  <c r="E20" i="1"/>
  <c r="F43" i="2"/>
  <c r="D18" i="2"/>
  <c r="C18" i="2"/>
  <c r="F50" i="2"/>
  <c r="B15" i="2"/>
  <c r="B17" i="2" s="1"/>
  <c r="C8" i="2"/>
  <c r="F20" i="1"/>
  <c r="D4" i="1" s="1"/>
  <c r="D7" i="2"/>
  <c r="C14" i="2"/>
  <c r="C15" i="2" s="1"/>
  <c r="H19" i="1" l="1"/>
  <c r="I7" i="1"/>
  <c r="F44" i="2"/>
  <c r="F49" i="2" s="1"/>
  <c r="B49" i="2"/>
  <c r="C17" i="2"/>
  <c r="E4" i="1"/>
  <c r="D8" i="2"/>
  <c r="D15" i="2"/>
  <c r="J7" i="1"/>
  <c r="J8" i="1"/>
  <c r="J10" i="1"/>
  <c r="J13" i="1"/>
  <c r="J11" i="1"/>
  <c r="J18" i="1"/>
  <c r="J14" i="1"/>
  <c r="I19" i="1"/>
  <c r="J16" i="1"/>
  <c r="J12" i="1" l="1"/>
  <c r="J15" i="1"/>
  <c r="J17" i="1"/>
  <c r="J9" i="1"/>
  <c r="D17" i="2"/>
  <c r="F4" i="1"/>
</calcChain>
</file>

<file path=xl/sharedStrings.xml><?xml version="1.0" encoding="utf-8"?>
<sst xmlns="http://schemas.openxmlformats.org/spreadsheetml/2006/main" count="129" uniqueCount="123">
  <si>
    <t>Weekends 2027年度　月別の目標と損益（2026年8月〜2027年7月）</t>
  </si>
  <si>
    <t>金額は税抜・円。報奨金の判定はスマレジの粗利で行う。黄色の「実績粗利」を入れると、達成率と報奨金が出ます。</t>
  </si>
  <si>
    <t>年間の予算
（売上）</t>
  </si>
  <si>
    <t>年間の予算
（粗利）</t>
  </si>
  <si>
    <t>月の目標の
合計（粗利）</t>
  </si>
  <si>
    <t>予算との差
（上乗せ分）</t>
  </si>
  <si>
    <t>営業利益
（予算どおり）</t>
  </si>
  <si>
    <t>営業利益
（全月目標達成）</t>
  </si>
  <si>
    <t>報奨金・年
（全月達成）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</si>
  <si>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</si>
  <si>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</si>
  <si>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</si>
  <si>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</si>
  <si>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</si>
  <si>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</si>
  <si>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</si>
  <si>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</si>
  <si>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</si>
  <si>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</si>
  <si>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</si>
  <si>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</si>
  <si>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</si>
  <si>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</si>
  <si>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</si>
  <si>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</si>
  <si>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</si>
  <si>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</si>
  <si>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</si>
  <si>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</si>
  <si>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</si>
  <si>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</si>
  <si>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</si>
  <si>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</si>
  <si>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</si>
  <si>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</si>
  <si>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年間予算との差</t>
  </si>
  <si>
    <t>・月の目標＝店長がスマレジに登録した予算×粗利率（売上は店長の予算そのまま、粗利は5万円単位）。ただし、それでは営業利益が赤字になる月（8・9・2・4・5・7月）は、販管費を賄える粗利180万円・売上530万円に引き上げた。</t>
  </si>
  <si>
    <t>・その結果、月の目標の合計（粗利2,285万円）は年間予算（2,150万円）より135万円多い。月の目標がいくつか未達でも年間予算には届く余裕になる。</t>
  </si>
  <si>
    <t>・販管費と営業利益は、その月の粗利目標をちょうど達成し報奨金3万円を払った場合。販管費は1万円単位＝固定費 月138万円（人件費80万・テナント固定分21万・その他の店舗経費29万・共通部の費用8万）＋報奨金3万円＋テナント歩合（売上×6.92%を1万円単位に丸め）。</t>
  </si>
  <si>
    <t>・報奨金は、その月の粗利が粗利目標の100%以上で店舗計3万円、105%以上で5万円。1人あたりの額は「年間損益」シートの「2. 報奨金のルール」。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</si>
  <si>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</si>
  <si>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</si>
  <si>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</si>
  <si>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</si>
  <si>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</si>
  <si>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</si>
  <si>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（年間の予算どおり）</t>
  </si>
  <si>
    <t>月の目標を
全月達成した場合</t>
  </si>
  <si>
    <t>説明</t>
  </si>
  <si>
    <t>売上高</t>
  </si>
  <si>
    <t>予算は年6,300万円。月の目標の合計は6,680万円（「月別目標」シートの年計）</t>
  </si>
  <si>
    <t>売上総利益（粗利）</t>
  </si>
  <si>
    <t>予算は2,150万円、月の目標の合計は2,285万円。前年は会計の粗利（棚卸の調整を含む）</t>
  </si>
  <si>
    <t>粗利率</t>
  </si>
  <si>
    <t>人件費（給与・賞与・法定福利）</t>
  </si>
  <si>
    <t>前年＝給与6,359,668＋賞与770,000＋法定福利961,899。予算は月80万円</t>
  </si>
  <si>
    <t>報奨金</t>
  </si>
  <si>
    <t>全月で月3万円を支給した場合（予算の列も、利益を少なめに見るため全月支給と仮定）</t>
  </si>
  <si>
    <t>テナント経費</t>
  </si>
  <si>
    <t>売上歩合制：固定分月21万円×12＋売上×6.92%（歩合は月ごとに1万円単位に丸め）</t>
  </si>
  <si>
    <t>その他の店舗経費</t>
  </si>
  <si>
    <t>予算は月29万円（前年3,493,268円を丸め）。管理諸費・減価償却・旅費・通信・消耗品など</t>
  </si>
  <si>
    <t>共通部の費用</t>
  </si>
  <si>
    <t>予算は月8万円（前年943,852円を丸め）。前年は租税公課882,500（3月・7月）など。中身は確認中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</si>
  <si>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</si>
  <si>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</si>
  <si>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</si>
  <si>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</si>
  <si>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</si>
  <si>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</si>
  <si>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</si>
  <si>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</si>
  <si>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</si>
  <si>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</si>
  <si>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</si>
  <si>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</si>
  <si>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</si>
  <si>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</si>
  <si>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</si>
  <si>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</si>
  <si>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</si>
  <si>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</si>
  <si>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</si>
  <si>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</si>
  <si>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</si>
  <si>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年間の売上目標</t>
  </si>
  <si>
    <t>年間予算（決算上の目標）。月の目標の合計とは別</t>
  </si>
  <si>
    <t>年間の粗利目標</t>
  </si>
  <si>
    <t>検討案（粗利率34.1%）</t>
  </si>
  <si>
    <t>人件費（月）</t>
  </si>
  <si>
    <t>給与・賞与・法定福利込み。報奨金は別枠</t>
  </si>
  <si>
    <t>テナント経費の固定分（月）</t>
  </si>
  <si>
    <t>前年12か月の実績から算出した209,792円を丸め（売上歩合制の固定部分）</t>
  </si>
  <si>
    <t>テナント経費の売上連動率</t>
  </si>
  <si>
    <t>同上（売上に比例する部分）。月の歩合は1万円単位に丸める</t>
  </si>
  <si>
    <t>その他の店舗経費（年）</t>
  </si>
  <si>
    <t>月29万円×12。前年実績3,493,268円（発展会計 営業部）を丸め</t>
  </si>
  <si>
    <t>共通部の費用（年）</t>
  </si>
  <si>
    <t>月8万円×12。前年実績943,852円（発展会計 全社−営業部）を丸め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</si>
  <si>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</si>
  <si>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</si>
  <si>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</si>
  <si>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</si>
  <si>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</si>
  <si>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</si>
  <si>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1か月の販管費（月の目標を全月達成した場合・1万円単位）</t>
  </si>
  <si>
    <t>売上530万円の月
（8・9・2・4・5・7月）</t>
  </si>
  <si>
    <t>売上550万円の月
（10・11・3・6月）</t>
  </si>
  <si>
    <t>1月
（売上600万円）</t>
  </si>
  <si>
    <t>12月
（売上700万円）</t>
  </si>
  <si>
    <t>年間</t>
  </si>
  <si>
    <t>決まり方</t>
  </si>
  <si>
    <t>毎月80万円（賞与も12等分して含めている）</t>
  </si>
  <si>
    <t>粗利目標を達成した月だけ3万円。105%以上なら5万円</t>
  </si>
  <si>
    <t>テナント経費（固定分）</t>
  </si>
  <si>
    <t>毎月21万円</t>
  </si>
  <si>
    <t>テナント経費（売上歩合）</t>
  </si>
  <si>
    <t>売上×6.92%を1万円単位に丸め。売上の大きい月ほど増える</t>
  </si>
  <si>
    <t>毎月29万円</t>
  </si>
  <si>
    <t>毎月8万円（前年は3月・7月の租税公課に集中。12等分している）</t>
  </si>
  <si>
    <t>年間は「1. 年間の損益」の販管費 計（月の目標を全月達成）と同じ</t>
  </si>
  <si>
    <t>参考：前年実績</t>
  </si>
  <si>
    <t>月平均156万円。月119万円（8月）〜234万円（7月）。賞与（12月・7月）と租税公課（3月・7月）の月に増える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</si>
</sst>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2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/>
    <xf numFmtId="0" fontId="2" fillId="3" borderId="1" xfId="0" applyFont="1" applyFill="1" applyBorder="1" applyAlignment="1">
      <alignment vertical="center" wrapText="1"/>
    </xf>
    <xf numFmtId="0" fontId="3" fillId="3" borderId="2" xfId="0" applyFont="1" applyFill="1" applyBorder="1"/>
    <xf numFmtId="0" fontId="3" fillId="3" borderId="3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63000000</v>
      </c>
      <c r="B4" s="4">
        <f>年間損益!C7</f>
        <v>21500000</v>
      </c>
      <c r="C4" s="4">
        <f>F19</f>
        <v>22850000</v>
      </c>
      <c r="D4" s="4">
        <f>F20</f>
        <v>1350000</v>
      </c>
      <c r="E4" s="4">
        <f>年間損益!C15</f>
        <v>220000</v>
      </c>
      <c r="F4" s="4">
        <f>年間損益!D15</f>
        <v>1290000</v>
      </c>
      <c r="G4" s="4">
        <f>年間損益!C10</f>
        <v>360000</v>
      </c>
    </row>
    <row r="6" spans="1:13" ht="52.05" customHeight="1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</row>
    <row r="7" spans="1:13" ht="15">
      <c r="A7" s="6" t="s">
        <v>22</v>
      </c>
      <c r="B7" s="7">
        <v>3040292</v>
      </c>
      <c r="C7" s="7">
        <v>3500000</v>
      </c>
      <c r="D7" s="8">
        <f t="shared" ref="D7:D18" si="0">C7/SUM($C$7:$C$18)</f>
        <v>5.8333333333333334E-2</v>
      </c>
      <c r="E7" s="9">
        <v>5300000</v>
      </c>
      <c r="F7" s="9">
        <v>1800000</v>
      </c>
      <c r="G7" s="7">
        <f>ROUND(F7*年間損益!$B$38/50000,0)*50000</f>
        <v>1900000</v>
      </c>
      <c r="H7" s="7">
        <f>ROUND(E7*年間損益!$B$34,-4)+年間損益!$B$39/12+年間損益!$C$25</f>
        <v>1780000</v>
      </c>
      <c r="I7" s="7">
        <f t="shared" ref="I7:I18" si="1">F7-H7</f>
        <v>20000</v>
      </c>
      <c r="J7" s="7">
        <f>SUM($I$7:I7)</f>
        <v>20000</v>
      </c>
      <c r="K7" s="9"/>
      <c r="L7" s="8" t="str">
        <f t="shared" ref="L7:L18" si="2">IF(K7="","",K7/F7)</f>
        <v/>
      </c>
      <c r="M7" s="7" t="str">
        <f>IF(K7="","",IF(K7&gt;=G7,年間損益!$D$25,IF(K7&gt;=F7,年間損益!$C$25,0)))</f>
        <v/>
      </c>
    </row>
    <row r="8" spans="1:13" ht="15">
      <c r="A8" s="6" t="s">
        <v>23</v>
      </c>
      <c r="B8" s="7">
        <v>3638478</v>
      </c>
      <c r="C8" s="7">
        <v>4500000</v>
      </c>
      <c r="D8" s="8">
        <f t="shared" si="0"/>
        <v>7.4999999999999997E-2</v>
      </c>
      <c r="E8" s="9">
        <v>5300000</v>
      </c>
      <c r="F8" s="9">
        <v>1800000</v>
      </c>
      <c r="G8" s="7">
        <f>ROUND(F8*年間損益!$B$38/50000,0)*50000</f>
        <v>1900000</v>
      </c>
      <c r="H8" s="7">
        <f>ROUND(E8*年間損益!$B$34,-4)+年間損益!$B$39/12+年間損益!$C$25</f>
        <v>1780000</v>
      </c>
      <c r="I8" s="7">
        <f t="shared" si="1"/>
        <v>20000</v>
      </c>
      <c r="J8" s="7">
        <f>SUM($I$7:I8)</f>
        <v>40000</v>
      </c>
      <c r="K8" s="9"/>
      <c r="L8" s="8" t="str">
        <f t="shared" si="2"/>
        <v/>
      </c>
      <c r="M8" s="7" t="str">
        <f>IF(K8="","",IF(K8&gt;=G8,年間損益!$D$25,IF(K8&gt;=F8,年間損益!$C$25,0)))</f>
        <v/>
      </c>
    </row>
    <row r="9" spans="1:13" ht="15">
      <c r="A9" s="6" t="s">
        <v>24</v>
      </c>
      <c r="B9" s="7">
        <v>4934704</v>
      </c>
      <c r="C9" s="7">
        <v>5500000</v>
      </c>
      <c r="D9" s="8">
        <f t="shared" si="0"/>
        <v>9.166666666666666E-2</v>
      </c>
      <c r="E9" s="9">
        <v>5500000</v>
      </c>
      <c r="F9" s="9">
        <v>1900000</v>
      </c>
      <c r="G9" s="7">
        <f>ROUND(F9*年間損益!$B$38/50000,0)*50000</f>
        <v>2000000</v>
      </c>
      <c r="H9" s="7">
        <f>ROUND(E9*年間損益!$B$34,-4)+年間損益!$B$39/12+年間損益!$C$25</f>
        <v>1790000</v>
      </c>
      <c r="I9" s="7">
        <f t="shared" si="1"/>
        <v>110000</v>
      </c>
      <c r="J9" s="7">
        <f>SUM($I$7:I9)</f>
        <v>150000</v>
      </c>
      <c r="K9" s="9"/>
      <c r="L9" s="8" t="str">
        <f t="shared" si="2"/>
        <v/>
      </c>
      <c r="M9" s="7" t="str">
        <f>IF(K9="","",IF(K9&gt;=G9,年間損益!$D$25,IF(K9&gt;=F9,年間損益!$C$25,0)))</f>
        <v/>
      </c>
    </row>
    <row r="10" spans="1:13" ht="15">
      <c r="A10" s="6" t="s">
        <v>25</v>
      </c>
      <c r="B10" s="7">
        <v>5149749</v>
      </c>
      <c r="C10" s="7">
        <v>5500000</v>
      </c>
      <c r="D10" s="8">
        <f t="shared" si="0"/>
        <v>9.166666666666666E-2</v>
      </c>
      <c r="E10" s="9">
        <v>5500000</v>
      </c>
      <c r="F10" s="9">
        <v>1900000</v>
      </c>
      <c r="G10" s="7">
        <f>ROUND(F10*年間損益!$B$38/50000,0)*50000</f>
        <v>2000000</v>
      </c>
      <c r="H10" s="7">
        <f>ROUND(E10*年間損益!$B$34,-4)+年間損益!$B$39/12+年間損益!$C$25</f>
        <v>1790000</v>
      </c>
      <c r="I10" s="7">
        <f t="shared" si="1"/>
        <v>110000</v>
      </c>
      <c r="J10" s="7">
        <f>SUM($I$7:I10)</f>
        <v>260000</v>
      </c>
      <c r="K10" s="9"/>
      <c r="L10" s="8" t="str">
        <f t="shared" si="2"/>
        <v/>
      </c>
      <c r="M10" s="7" t="str">
        <f>IF(K10="","",IF(K10&gt;=G10,年間損益!$D$25,IF(K10&gt;=F10,年間損益!$C$25,0)))</f>
        <v/>
      </c>
    </row>
    <row r="11" spans="1:13" ht="15">
      <c r="A11" s="6" t="s">
        <v>26</v>
      </c>
      <c r="B11" s="7">
        <v>6820952</v>
      </c>
      <c r="C11" s="7">
        <v>7000000</v>
      </c>
      <c r="D11" s="8">
        <f t="shared" si="0"/>
        <v>0.11666666666666667</v>
      </c>
      <c r="E11" s="9">
        <v>7000000</v>
      </c>
      <c r="F11" s="9">
        <v>2400000</v>
      </c>
      <c r="G11" s="7">
        <f>ROUND(F11*年間損益!$B$38/50000,0)*50000</f>
        <v>2500000</v>
      </c>
      <c r="H11" s="7">
        <f>ROUND(E11*年間損益!$B$34,-4)+年間損益!$B$39/12+年間損益!$C$25</f>
        <v>1890000</v>
      </c>
      <c r="I11" s="7">
        <f t="shared" si="1"/>
        <v>510000</v>
      </c>
      <c r="J11" s="7">
        <f>SUM($I$7:I11)</f>
        <v>770000</v>
      </c>
      <c r="K11" s="9"/>
      <c r="L11" s="8" t="str">
        <f t="shared" si="2"/>
        <v/>
      </c>
      <c r="M11" s="7" t="str">
        <f>IF(K11="","",IF(K11&gt;=G11,年間損益!$D$25,IF(K11&gt;=F11,年間損益!$C$25,0)))</f>
        <v/>
      </c>
    </row>
    <row r="12" spans="1:13" ht="15">
      <c r="A12" s="6" t="s">
        <v>27</v>
      </c>
      <c r="B12" s="7">
        <v>4850701</v>
      </c>
      <c r="C12" s="7">
        <v>6000000</v>
      </c>
      <c r="D12" s="8">
        <f t="shared" si="0"/>
        <v>0.1</v>
      </c>
      <c r="E12" s="9">
        <v>6000000</v>
      </c>
      <c r="F12" s="9">
        <v>2050000</v>
      </c>
      <c r="G12" s="7">
        <f>ROUND(F12*年間損益!$B$38/50000,0)*50000</f>
        <v>2150000</v>
      </c>
      <c r="H12" s="7">
        <f>ROUND(E12*年間損益!$B$34,-4)+年間損益!$B$39/12+年間損益!$C$25</f>
        <v>1830000</v>
      </c>
      <c r="I12" s="7">
        <f t="shared" si="1"/>
        <v>220000</v>
      </c>
      <c r="J12" s="7">
        <f>SUM($I$7:I12)</f>
        <v>990000</v>
      </c>
      <c r="K12" s="9"/>
      <c r="L12" s="8" t="str">
        <f t="shared" si="2"/>
        <v/>
      </c>
      <c r="M12" s="7" t="str">
        <f>IF(K12="","",IF(K12&gt;=G12,年間損益!$D$25,IF(K12&gt;=F12,年間損益!$C$25,0)))</f>
        <v/>
      </c>
    </row>
    <row r="13" spans="1:13" ht="15">
      <c r="A13" s="6" t="s">
        <v>28</v>
      </c>
      <c r="B13" s="7">
        <v>2795656</v>
      </c>
      <c r="C13" s="7">
        <v>3500000</v>
      </c>
      <c r="D13" s="8">
        <f t="shared" si="0"/>
        <v>5.8333333333333334E-2</v>
      </c>
      <c r="E13" s="9">
        <v>5300000</v>
      </c>
      <c r="F13" s="9">
        <v>1800000</v>
      </c>
      <c r="G13" s="7">
        <f>ROUND(F13*年間損益!$B$38/50000,0)*50000</f>
        <v>1900000</v>
      </c>
      <c r="H13" s="7">
        <f>ROUND(E13*年間損益!$B$34,-4)+年間損益!$B$39/12+年間損益!$C$25</f>
        <v>1780000</v>
      </c>
      <c r="I13" s="7">
        <f t="shared" si="1"/>
        <v>20000</v>
      </c>
      <c r="J13" s="7">
        <f>SUM($I$7:I13)</f>
        <v>1010000</v>
      </c>
      <c r="K13" s="9"/>
      <c r="L13" s="8" t="str">
        <f t="shared" si="2"/>
        <v/>
      </c>
      <c r="M13" s="7" t="str">
        <f>IF(K13="","",IF(K13&gt;=G13,年間損益!$D$25,IF(K13&gt;=F13,年間損益!$C$25,0)))</f>
        <v/>
      </c>
    </row>
    <row r="14" spans="1:13" ht="15">
      <c r="A14" s="6" t="s">
        <v>29</v>
      </c>
      <c r="B14" s="7">
        <v>4419804</v>
      </c>
      <c r="C14" s="7">
        <v>5500000</v>
      </c>
      <c r="D14" s="8">
        <f t="shared" si="0"/>
        <v>9.166666666666666E-2</v>
      </c>
      <c r="E14" s="9">
        <v>5500000</v>
      </c>
      <c r="F14" s="9">
        <v>1900000</v>
      </c>
      <c r="G14" s="7">
        <f>ROUND(F14*年間損益!$B$38/50000,0)*50000</f>
        <v>2000000</v>
      </c>
      <c r="H14" s="7">
        <f>ROUND(E14*年間損益!$B$34,-4)+年間損益!$B$39/12+年間損益!$C$25</f>
        <v>1790000</v>
      </c>
      <c r="I14" s="7">
        <f t="shared" si="1"/>
        <v>110000</v>
      </c>
      <c r="J14" s="7">
        <f>SUM($I$7:I14)</f>
        <v>1120000</v>
      </c>
      <c r="K14" s="9"/>
      <c r="L14" s="8" t="str">
        <f t="shared" si="2"/>
        <v/>
      </c>
      <c r="M14" s="7" t="str">
        <f>IF(K14="","",IF(K14&gt;=G14,年間損益!$D$25,IF(K14&gt;=F14,年間損益!$C$25,0)))</f>
        <v/>
      </c>
    </row>
    <row r="15" spans="1:13" ht="15">
      <c r="A15" s="6" t="s">
        <v>30</v>
      </c>
      <c r="B15" s="7">
        <v>3581469</v>
      </c>
      <c r="C15" s="7">
        <v>4500000</v>
      </c>
      <c r="D15" s="8">
        <f t="shared" si="0"/>
        <v>7.4999999999999997E-2</v>
      </c>
      <c r="E15" s="9">
        <v>5300000</v>
      </c>
      <c r="F15" s="9">
        <v>1800000</v>
      </c>
      <c r="G15" s="7">
        <f>ROUND(F15*年間損益!$B$38/50000,0)*50000</f>
        <v>1900000</v>
      </c>
      <c r="H15" s="7">
        <f>ROUND(E15*年間損益!$B$34,-4)+年間損益!$B$39/12+年間損益!$C$25</f>
        <v>1780000</v>
      </c>
      <c r="I15" s="7">
        <f t="shared" si="1"/>
        <v>20000</v>
      </c>
      <c r="J15" s="7">
        <f>SUM($I$7:I15)</f>
        <v>1140000</v>
      </c>
      <c r="K15" s="9"/>
      <c r="L15" s="8" t="str">
        <f t="shared" si="2"/>
        <v/>
      </c>
      <c r="M15" s="7" t="str">
        <f>IF(K15="","",IF(K15&gt;=G15,年間損益!$D$25,IF(K15&gt;=F15,年間損益!$C$25,0)))</f>
        <v/>
      </c>
    </row>
    <row r="16" spans="1:13" ht="15">
      <c r="A16" s="6" t="s">
        <v>31</v>
      </c>
      <c r="B16" s="7">
        <v>4799124</v>
      </c>
      <c r="C16" s="7">
        <v>4500000</v>
      </c>
      <c r="D16" s="8">
        <f t="shared" si="0"/>
        <v>7.4999999999999997E-2</v>
      </c>
      <c r="E16" s="9">
        <v>5300000</v>
      </c>
      <c r="F16" s="9">
        <v>1800000</v>
      </c>
      <c r="G16" s="7">
        <f>ROUND(F16*年間損益!$B$38/50000,0)*50000</f>
        <v>1900000</v>
      </c>
      <c r="H16" s="7">
        <f>ROUND(E16*年間損益!$B$34,-4)+年間損益!$B$39/12+年間損益!$C$25</f>
        <v>1780000</v>
      </c>
      <c r="I16" s="7">
        <f t="shared" si="1"/>
        <v>20000</v>
      </c>
      <c r="J16" s="7">
        <f>SUM($I$7:I16)</f>
        <v>1160000</v>
      </c>
      <c r="K16" s="9"/>
      <c r="L16" s="8" t="str">
        <f t="shared" si="2"/>
        <v/>
      </c>
      <c r="M16" s="7" t="str">
        <f>IF(K16="","",IF(K16&gt;=G16,年間損益!$D$25,IF(K16&gt;=F16,年間損益!$C$25,0)))</f>
        <v/>
      </c>
    </row>
    <row r="17" spans="1:13" ht="15">
      <c r="A17" s="6" t="s">
        <v>32</v>
      </c>
      <c r="B17" s="7">
        <v>4888307</v>
      </c>
      <c r="C17" s="7">
        <v>5500000</v>
      </c>
      <c r="D17" s="8">
        <f t="shared" si="0"/>
        <v>9.166666666666666E-2</v>
      </c>
      <c r="E17" s="9">
        <v>5500000</v>
      </c>
      <c r="F17" s="9">
        <v>1900000</v>
      </c>
      <c r="G17" s="7">
        <f>ROUND(F17*年間損益!$B$38/50000,0)*50000</f>
        <v>2000000</v>
      </c>
      <c r="H17" s="7">
        <f>ROUND(E17*年間損益!$B$34,-4)+年間損益!$B$39/12+年間損益!$C$25</f>
        <v>1790000</v>
      </c>
      <c r="I17" s="7">
        <f t="shared" si="1"/>
        <v>110000</v>
      </c>
      <c r="J17" s="7">
        <f>SUM($I$7:I17)</f>
        <v>1270000</v>
      </c>
      <c r="K17" s="9"/>
      <c r="L17" s="8" t="str">
        <f t="shared" si="2"/>
        <v/>
      </c>
      <c r="M17" s="7" t="str">
        <f>IF(K17="","",IF(K17&gt;=G17,年間損益!$D$25,IF(K17&gt;=F17,年間損益!$C$25,0)))</f>
        <v/>
      </c>
    </row>
    <row r="18" spans="1:13" ht="15">
      <c r="A18" s="6" t="s">
        <v>33</v>
      </c>
      <c r="B18" s="7">
        <v>4741065</v>
      </c>
      <c r="C18" s="7">
        <v>4500000</v>
      </c>
      <c r="D18" s="8">
        <f t="shared" si="0"/>
        <v>7.4999999999999997E-2</v>
      </c>
      <c r="E18" s="9">
        <v>5300000</v>
      </c>
      <c r="F18" s="9">
        <v>1800000</v>
      </c>
      <c r="G18" s="7">
        <f>ROUND(F18*年間損益!$B$38/50000,0)*50000</f>
        <v>1900000</v>
      </c>
      <c r="H18" s="7">
        <f>ROUND(E18*年間損益!$B$34,-4)+年間損益!$B$39/12+年間損益!$C$25</f>
        <v>1780000</v>
      </c>
      <c r="I18" s="7">
        <f t="shared" si="1"/>
        <v>20000</v>
      </c>
      <c r="J18" s="7">
        <f>SUM($I$7:I18)</f>
        <v>1290000</v>
      </c>
      <c r="K18" s="9"/>
      <c r="L18" s="8" t="str">
        <f t="shared" si="2"/>
        <v/>
      </c>
      <c r="M18" s="7" t="str">
        <f>IF(K18="","",IF(K18&gt;=G18,年間損益!$D$25,IF(K18&gt;=F18,年間損益!$C$25,0)))</f>
        <v/>
      </c>
    </row>
    <row r="19" spans="1:13" ht="15">
      <c r="A19" s="10" t="s">
        <v>34</v>
      </c>
      <c r="B19" s="11">
        <f t="shared" ref="B19:I19" si="3">SUM(B7:B18)</f>
        <v>53660301</v>
      </c>
      <c r="C19" s="11">
        <f t="shared" si="3"/>
        <v>60000000</v>
      </c>
      <c r="D19" s="12">
        <f t="shared" si="3"/>
        <v>0.99999999999999989</v>
      </c>
      <c r="E19" s="11">
        <f t="shared" si="3"/>
        <v>66800000</v>
      </c>
      <c r="F19" s="11">
        <f t="shared" si="3"/>
        <v>22850000</v>
      </c>
      <c r="G19" s="11">
        <f t="shared" si="3"/>
        <v>24050000</v>
      </c>
      <c r="H19" s="11">
        <f t="shared" si="3"/>
        <v>21560000</v>
      </c>
      <c r="I19" s="11">
        <f t="shared" si="3"/>
        <v>1290000</v>
      </c>
      <c r="J19" s="13"/>
      <c r="K19" s="11">
        <f>SUM(K7:K18)</f>
        <v>0</v>
      </c>
      <c r="L19" s="12" t="str">
        <f>IF(COUNT(K7:K18)=0,"",K19/SUMIF(K7:K18,"&lt;&gt;",F7:F18))</f>
        <v/>
      </c>
      <c r="M19" s="11">
        <f>SUM(M7:M18)</f>
        <v>0</v>
      </c>
    </row>
    <row r="20" spans="1:13" ht="15">
      <c r="A20" s="6" t="s">
        <v>35</v>
      </c>
      <c r="E20" s="7">
        <f>E19-年間損益!B30</f>
        <v>3800000</v>
      </c>
      <c r="F20" s="7">
        <f>F19-年間損益!B31</f>
        <v>1350000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50"/>
  <sheetViews>
    <sheetView showGridLines="0" workbookViewId="0"/>
  </sheetViews>
  <sheetFormatPr defaultRowHeight="13.2"/>
  <cols>
    <col min="1" max="1" width="32" customWidth="1"/>
    <col min="2" max="6" width="17" customWidth="1"/>
    <col min="7" max="7" width="56" customWidth="1"/>
  </cols>
  <sheetData>
    <row r="1" spans="1:7" ht="18.600000000000001">
      <c r="A1" s="1" t="s">
        <v>41</v>
      </c>
    </row>
    <row r="2" spans="1:7" ht="15">
      <c r="A2" s="2" t="s">
        <v>42</v>
      </c>
    </row>
    <row r="4" spans="1:7" ht="15">
      <c r="A4" s="14" t="s">
        <v>43</v>
      </c>
    </row>
    <row r="5" spans="1:7" ht="49.95" customHeight="1">
      <c r="A5" s="5" t="s">
        <v>44</v>
      </c>
      <c r="B5" s="5" t="s">
        <v>45</v>
      </c>
      <c r="C5" s="5" t="s">
        <v>46</v>
      </c>
      <c r="D5" s="5" t="s">
        <v>47</v>
      </c>
      <c r="E5" s="30" t="s">
        <v>48</v>
      </c>
      <c r="F5" s="24"/>
      <c r="G5" s="25"/>
    </row>
    <row r="6" spans="1:7" ht="15">
      <c r="A6" s="15" t="s">
        <v>49</v>
      </c>
      <c r="B6" s="7">
        <v>53660301</v>
      </c>
      <c r="C6" s="7">
        <f>$B$30</f>
        <v>63000000</v>
      </c>
      <c r="D6" s="7">
        <f>月別目標!$E$19</f>
        <v>66800000</v>
      </c>
      <c r="E6" s="23" t="s">
        <v>50</v>
      </c>
      <c r="F6" s="24"/>
      <c r="G6" s="25"/>
    </row>
    <row r="7" spans="1:7" ht="30" customHeight="1">
      <c r="A7" s="17" t="s">
        <v>51</v>
      </c>
      <c r="B7" s="11">
        <v>16612146</v>
      </c>
      <c r="C7" s="11">
        <f>$B$31</f>
        <v>21500000</v>
      </c>
      <c r="D7" s="11">
        <f>月別目標!$F$19</f>
        <v>22850000</v>
      </c>
      <c r="E7" s="27" t="s">
        <v>52</v>
      </c>
      <c r="F7" s="28"/>
      <c r="G7" s="29"/>
    </row>
    <row r="8" spans="1:7" ht="15">
      <c r="A8" s="15" t="s">
        <v>53</v>
      </c>
      <c r="B8" s="8">
        <f>B7/B6</f>
        <v>0.30957981394849055</v>
      </c>
      <c r="C8" s="8">
        <f>C7/C6</f>
        <v>0.34126984126984128</v>
      </c>
      <c r="D8" s="8">
        <f>D7/D6</f>
        <v>0.34206586826347307</v>
      </c>
      <c r="E8" s="23"/>
      <c r="F8" s="24"/>
      <c r="G8" s="25"/>
    </row>
    <row r="9" spans="1:7" ht="30" customHeight="1">
      <c r="A9" s="15" t="s">
        <v>54</v>
      </c>
      <c r="B9" s="7">
        <v>8091567</v>
      </c>
      <c r="C9" s="7">
        <f>$B$32*12</f>
        <v>9600000</v>
      </c>
      <c r="D9" s="7">
        <f>$B$32*12</f>
        <v>9600000</v>
      </c>
      <c r="E9" s="23" t="s">
        <v>55</v>
      </c>
      <c r="F9" s="24"/>
      <c r="G9" s="25"/>
    </row>
    <row r="10" spans="1:7" ht="15">
      <c r="A10" s="15" t="s">
        <v>56</v>
      </c>
      <c r="B10" s="7">
        <v>0</v>
      </c>
      <c r="C10" s="7">
        <f>$C$25*12</f>
        <v>360000</v>
      </c>
      <c r="D10" s="7">
        <f>$C$25*12</f>
        <v>360000</v>
      </c>
      <c r="E10" s="23" t="s">
        <v>57</v>
      </c>
      <c r="F10" s="24"/>
      <c r="G10" s="25"/>
    </row>
    <row r="11" spans="1:7" ht="15">
      <c r="A11" s="15" t="s">
        <v>58</v>
      </c>
      <c r="B11" s="7">
        <v>6230261</v>
      </c>
      <c r="C11" s="7">
        <f>$B$33*12+ROUND(C6*$B$34,-4)</f>
        <v>6880000</v>
      </c>
      <c r="D11" s="7">
        <f>$B$33*12+SUMPRODUCT(ROUND(月別目標!$E$7:$E$18*$B$34,-4))</f>
        <v>7160000</v>
      </c>
      <c r="E11" s="23" t="s">
        <v>59</v>
      </c>
      <c r="F11" s="24"/>
      <c r="G11" s="25"/>
    </row>
    <row r="12" spans="1:7" ht="30" customHeight="1">
      <c r="A12" s="15" t="s">
        <v>60</v>
      </c>
      <c r="B12" s="7">
        <v>3493268</v>
      </c>
      <c r="C12" s="7">
        <f>$B$35</f>
        <v>3480000</v>
      </c>
      <c r="D12" s="7">
        <f>$B$35</f>
        <v>3480000</v>
      </c>
      <c r="E12" s="23" t="s">
        <v>61</v>
      </c>
      <c r="F12" s="24"/>
      <c r="G12" s="25"/>
    </row>
    <row r="13" spans="1:7" ht="30" customHeight="1">
      <c r="A13" s="15" t="s">
        <v>62</v>
      </c>
      <c r="B13" s="7">
        <v>943852</v>
      </c>
      <c r="C13" s="7">
        <f>$B$36</f>
        <v>960000</v>
      </c>
      <c r="D13" s="7">
        <f>$B$36</f>
        <v>960000</v>
      </c>
      <c r="E13" s="23" t="s">
        <v>63</v>
      </c>
      <c r="F13" s="24"/>
      <c r="G13" s="25"/>
    </row>
    <row r="14" spans="1:7" ht="15">
      <c r="A14" s="15" t="s">
        <v>64</v>
      </c>
      <c r="B14" s="7">
        <f>SUM(B9:B13)</f>
        <v>18758948</v>
      </c>
      <c r="C14" s="7">
        <f>SUM(C9:C13)</f>
        <v>21280000</v>
      </c>
      <c r="D14" s="7">
        <f>SUM(D9:D13)</f>
        <v>21560000</v>
      </c>
      <c r="E14" s="23"/>
      <c r="F14" s="24"/>
      <c r="G14" s="25"/>
    </row>
    <row r="15" spans="1:7" ht="15">
      <c r="A15" s="17" t="s">
        <v>65</v>
      </c>
      <c r="B15" s="11">
        <f>B7-B14</f>
        <v>-2146802</v>
      </c>
      <c r="C15" s="11">
        <f>C7-C14</f>
        <v>220000</v>
      </c>
      <c r="D15" s="11">
        <f>D7-D14</f>
        <v>1290000</v>
      </c>
      <c r="E15" s="27"/>
      <c r="F15" s="28"/>
      <c r="G15" s="29"/>
    </row>
    <row r="16" spans="1:7" ht="15">
      <c r="A16" s="15" t="s">
        <v>66</v>
      </c>
      <c r="B16" s="7">
        <v>-153129</v>
      </c>
      <c r="C16" s="7">
        <f>-$B$37</f>
        <v>-300000</v>
      </c>
      <c r="D16" s="7">
        <f>-$B$37</f>
        <v>-300000</v>
      </c>
      <c r="E16" s="23" t="s">
        <v>67</v>
      </c>
      <c r="F16" s="24"/>
      <c r="G16" s="25"/>
    </row>
    <row r="17" spans="1:7" ht="15">
      <c r="A17" s="17" t="s">
        <v>68</v>
      </c>
      <c r="B17" s="11">
        <f>B15+B16</f>
        <v>-2299931</v>
      </c>
      <c r="C17" s="11">
        <f>C15+C16</f>
        <v>-80000</v>
      </c>
      <c r="D17" s="11">
        <f>D15+D16</f>
        <v>990000</v>
      </c>
      <c r="E17" s="27"/>
      <c r="F17" s="28"/>
      <c r="G17" s="29"/>
    </row>
    <row r="18" spans="1:7" ht="15">
      <c r="A18" s="15" t="s">
        <v>69</v>
      </c>
      <c r="B18" s="7"/>
      <c r="C18" s="7">
        <f>$B$39/($B$31/$B$30-$B$34)</f>
        <v>60866724.230473027</v>
      </c>
      <c r="D18" s="7">
        <f>$B$39/($B$31/$B$30-$B$34)</f>
        <v>60866724.230473027</v>
      </c>
      <c r="E18" s="23" t="s">
        <v>70</v>
      </c>
      <c r="F18" s="24"/>
      <c r="G18" s="25"/>
    </row>
    <row r="20" spans="1:7" ht="15">
      <c r="A20" s="14" t="s">
        <v>71</v>
      </c>
    </row>
    <row r="21" spans="1:7" ht="49.95" customHeight="1">
      <c r="A21" s="5" t="s">
        <v>72</v>
      </c>
      <c r="B21" s="5" t="s">
        <v>73</v>
      </c>
      <c r="C21" s="5" t="s">
        <v>74</v>
      </c>
      <c r="D21" s="5" t="s">
        <v>75</v>
      </c>
    </row>
    <row r="22" spans="1:7" ht="15">
      <c r="A22" s="15" t="s">
        <v>76</v>
      </c>
      <c r="B22" s="19">
        <v>1</v>
      </c>
      <c r="C22" s="9">
        <v>12000</v>
      </c>
      <c r="D22" s="9">
        <v>20000</v>
      </c>
    </row>
    <row r="23" spans="1:7" ht="15">
      <c r="A23" s="15" t="s">
        <v>77</v>
      </c>
      <c r="B23" s="19">
        <v>1</v>
      </c>
      <c r="C23" s="9">
        <v>8000</v>
      </c>
      <c r="D23" s="9">
        <v>14000</v>
      </c>
    </row>
    <row r="24" spans="1:7" ht="15">
      <c r="A24" s="15" t="s">
        <v>78</v>
      </c>
      <c r="B24" s="19">
        <v>2</v>
      </c>
      <c r="C24" s="9">
        <v>5000</v>
      </c>
      <c r="D24" s="9">
        <v>8000</v>
      </c>
    </row>
    <row r="25" spans="1:7" ht="15">
      <c r="A25" s="17" t="s">
        <v>79</v>
      </c>
      <c r="B25" s="20">
        <f>SUM(B22:B24)</f>
        <v>4</v>
      </c>
      <c r="C25" s="11">
        <f>SUMPRODUCT($B$22:$B$24,C22:C24)</f>
        <v>30000</v>
      </c>
      <c r="D25" s="11">
        <f>SUMPRODUCT($B$22:$B$24,D22:D24)</f>
        <v>50000</v>
      </c>
    </row>
    <row r="26" spans="1:7" ht="15">
      <c r="A26" s="15" t="s">
        <v>80</v>
      </c>
      <c r="B26" s="15"/>
      <c r="C26" s="7">
        <f>C25*12</f>
        <v>360000</v>
      </c>
      <c r="D26" s="7">
        <f>D25*12</f>
        <v>600000</v>
      </c>
    </row>
    <row r="28" spans="1:7" ht="15">
      <c r="A28" s="14" t="s">
        <v>81</v>
      </c>
    </row>
    <row r="29" spans="1:7" ht="15">
      <c r="A29" s="5" t="s">
        <v>82</v>
      </c>
      <c r="B29" s="5" t="s">
        <v>83</v>
      </c>
      <c r="C29" s="30" t="s">
        <v>84</v>
      </c>
      <c r="D29" s="24"/>
      <c r="E29" s="24"/>
      <c r="F29" s="24"/>
      <c r="G29" s="25"/>
    </row>
    <row r="30" spans="1:7" ht="15">
      <c r="A30" s="15" t="s">
        <v>85</v>
      </c>
      <c r="B30" s="9">
        <v>63000000</v>
      </c>
      <c r="C30" s="26" t="s">
        <v>86</v>
      </c>
      <c r="D30" s="24"/>
      <c r="E30" s="24"/>
      <c r="F30" s="24"/>
      <c r="G30" s="25"/>
    </row>
    <row r="31" spans="1:7" ht="15">
      <c r="A31" s="15" t="s">
        <v>87</v>
      </c>
      <c r="B31" s="9">
        <v>21500000</v>
      </c>
      <c r="C31" s="26" t="s">
        <v>88</v>
      </c>
      <c r="D31" s="24"/>
      <c r="E31" s="24"/>
      <c r="F31" s="24"/>
      <c r="G31" s="25"/>
    </row>
    <row r="32" spans="1:7" ht="15">
      <c r="A32" s="15" t="s">
        <v>89</v>
      </c>
      <c r="B32" s="9">
        <v>800000</v>
      </c>
      <c r="C32" s="26" t="s">
        <v>90</v>
      </c>
      <c r="D32" s="24"/>
      <c r="E32" s="24"/>
      <c r="F32" s="24"/>
      <c r="G32" s="25"/>
    </row>
    <row r="33" spans="1:7" ht="15">
      <c r="A33" s="15" t="s">
        <v>91</v>
      </c>
      <c r="B33" s="9">
        <v>210000</v>
      </c>
      <c r="C33" s="26" t="s">
        <v>92</v>
      </c>
      <c r="D33" s="24"/>
      <c r="E33" s="24"/>
      <c r="F33" s="24"/>
      <c r="G33" s="25"/>
    </row>
    <row r="34" spans="1:7" ht="15">
      <c r="A34" s="15" t="s">
        <v>93</v>
      </c>
      <c r="B34" s="21">
        <v>6.9199999999999998E-2</v>
      </c>
      <c r="C34" s="26" t="s">
        <v>94</v>
      </c>
      <c r="D34" s="24"/>
      <c r="E34" s="24"/>
      <c r="F34" s="24"/>
      <c r="G34" s="25"/>
    </row>
    <row r="35" spans="1:7" ht="15">
      <c r="A35" s="15" t="s">
        <v>95</v>
      </c>
      <c r="B35" s="9">
        <v>3480000</v>
      </c>
      <c r="C35" s="26" t="s">
        <v>96</v>
      </c>
      <c r="D35" s="24"/>
      <c r="E35" s="24"/>
      <c r="F35" s="24"/>
      <c r="G35" s="25"/>
    </row>
    <row r="36" spans="1:7" ht="15">
      <c r="A36" s="15" t="s">
        <v>97</v>
      </c>
      <c r="B36" s="9">
        <v>960000</v>
      </c>
      <c r="C36" s="26" t="s">
        <v>98</v>
      </c>
      <c r="D36" s="24"/>
      <c r="E36" s="24"/>
      <c r="F36" s="24"/>
      <c r="G36" s="25"/>
    </row>
    <row r="37" spans="1:7" ht="15">
      <c r="A37" s="15" t="s">
        <v>99</v>
      </c>
      <c r="B37" s="9">
        <v>300000</v>
      </c>
      <c r="C37" s="26" t="s">
        <v>100</v>
      </c>
      <c r="D37" s="24"/>
      <c r="E37" s="24"/>
      <c r="F37" s="24"/>
      <c r="G37" s="25"/>
    </row>
    <row r="38" spans="1:7" ht="15">
      <c r="A38" s="15" t="s">
        <v>101</v>
      </c>
      <c r="B38" s="22">
        <v>1.05</v>
      </c>
      <c r="C38" s="26" t="s">
        <v>102</v>
      </c>
      <c r="D38" s="24"/>
      <c r="E38" s="24"/>
      <c r="F38" s="24"/>
      <c r="G38" s="25"/>
    </row>
    <row r="39" spans="1:7" ht="15">
      <c r="A39" s="15" t="s">
        <v>103</v>
      </c>
      <c r="B39" s="7">
        <f>B32*12+B33*12+B35+B36</f>
        <v>16560000</v>
      </c>
      <c r="C39" s="26" t="s">
        <v>104</v>
      </c>
      <c r="D39" s="24"/>
      <c r="E39" s="24"/>
      <c r="F39" s="24"/>
      <c r="G39" s="25"/>
    </row>
    <row r="41" spans="1:7" ht="15">
      <c r="A41" s="14" t="s">
        <v>105</v>
      </c>
    </row>
    <row r="42" spans="1:7" ht="49.95" customHeight="1">
      <c r="A42" s="5" t="s">
        <v>82</v>
      </c>
      <c r="B42" s="5" t="s">
        <v>106</v>
      </c>
      <c r="C42" s="5" t="s">
        <v>107</v>
      </c>
      <c r="D42" s="5" t="s">
        <v>108</v>
      </c>
      <c r="E42" s="5" t="s">
        <v>109</v>
      </c>
      <c r="F42" s="5" t="s">
        <v>110</v>
      </c>
      <c r="G42" s="5" t="s">
        <v>111</v>
      </c>
    </row>
    <row r="43" spans="1:7" ht="15">
      <c r="A43" s="15" t="s">
        <v>54</v>
      </c>
      <c r="B43" s="7">
        <f>$B$32</f>
        <v>800000</v>
      </c>
      <c r="C43" s="7">
        <f>$B$32</f>
        <v>800000</v>
      </c>
      <c r="D43" s="7">
        <f>$B$32</f>
        <v>800000</v>
      </c>
      <c r="E43" s="7">
        <f>$B$32</f>
        <v>800000</v>
      </c>
      <c r="F43" s="7">
        <f>B43*12</f>
        <v>9600000</v>
      </c>
      <c r="G43" s="16" t="s">
        <v>112</v>
      </c>
    </row>
    <row r="44" spans="1:7" ht="15">
      <c r="A44" s="15" t="s">
        <v>56</v>
      </c>
      <c r="B44" s="7">
        <f>$C$25</f>
        <v>30000</v>
      </c>
      <c r="C44" s="7">
        <f>$C$25</f>
        <v>30000</v>
      </c>
      <c r="D44" s="7">
        <f>$C$25</f>
        <v>30000</v>
      </c>
      <c r="E44" s="7">
        <f>$C$25</f>
        <v>30000</v>
      </c>
      <c r="F44" s="7">
        <f>B44*12</f>
        <v>360000</v>
      </c>
      <c r="G44" s="16" t="s">
        <v>113</v>
      </c>
    </row>
    <row r="45" spans="1:7" ht="15">
      <c r="A45" s="15" t="s">
        <v>114</v>
      </c>
      <c r="B45" s="7">
        <f>$B$33</f>
        <v>210000</v>
      </c>
      <c r="C45" s="7">
        <f>$B$33</f>
        <v>210000</v>
      </c>
      <c r="D45" s="7">
        <f>$B$33</f>
        <v>210000</v>
      </c>
      <c r="E45" s="7">
        <f>$B$33</f>
        <v>210000</v>
      </c>
      <c r="F45" s="7">
        <f>B45*12</f>
        <v>2520000</v>
      </c>
      <c r="G45" s="16" t="s">
        <v>115</v>
      </c>
    </row>
    <row r="46" spans="1:7" ht="15">
      <c r="A46" s="15" t="s">
        <v>116</v>
      </c>
      <c r="B46" s="7">
        <f>ROUND(月別目標!E7*$B$34,-4)</f>
        <v>370000</v>
      </c>
      <c r="C46" s="7">
        <f>ROUND(月別目標!E9*$B$34,-4)</f>
        <v>380000</v>
      </c>
      <c r="D46" s="7">
        <f>ROUND(月別目標!E12*$B$34,-4)</f>
        <v>420000</v>
      </c>
      <c r="E46" s="7">
        <f>ROUND(月別目標!E11*$B$34,-4)</f>
        <v>480000</v>
      </c>
      <c r="F46" s="7">
        <f>SUMPRODUCT(ROUND(月別目標!$E$7:$E$18*$B$34,-4))</f>
        <v>4640000</v>
      </c>
      <c r="G46" s="16" t="s">
        <v>117</v>
      </c>
    </row>
    <row r="47" spans="1:7" ht="15">
      <c r="A47" s="15" t="s">
        <v>60</v>
      </c>
      <c r="B47" s="7">
        <f>$B$35/12</f>
        <v>290000</v>
      </c>
      <c r="C47" s="7">
        <f>$B$35/12</f>
        <v>290000</v>
      </c>
      <c r="D47" s="7">
        <f>$B$35/12</f>
        <v>290000</v>
      </c>
      <c r="E47" s="7">
        <f>$B$35/12</f>
        <v>290000</v>
      </c>
      <c r="F47" s="7">
        <f>B47*12</f>
        <v>3480000</v>
      </c>
      <c r="G47" s="16" t="s">
        <v>118</v>
      </c>
    </row>
    <row r="48" spans="1:7" ht="30">
      <c r="A48" s="15" t="s">
        <v>62</v>
      </c>
      <c r="B48" s="7">
        <f>$B$36/12</f>
        <v>80000</v>
      </c>
      <c r="C48" s="7">
        <f>$B$36/12</f>
        <v>80000</v>
      </c>
      <c r="D48" s="7">
        <f>$B$36/12</f>
        <v>80000</v>
      </c>
      <c r="E48" s="7">
        <f>$B$36/12</f>
        <v>80000</v>
      </c>
      <c r="F48" s="7">
        <f>B48*12</f>
        <v>960000</v>
      </c>
      <c r="G48" s="16" t="s">
        <v>119</v>
      </c>
    </row>
    <row r="49" spans="1:7" ht="30">
      <c r="A49" s="17" t="s">
        <v>64</v>
      </c>
      <c r="B49" s="11">
        <f>SUM(B43:B48)</f>
        <v>1780000</v>
      </c>
      <c r="C49" s="11">
        <f>SUM(C43:C48)</f>
        <v>1790000</v>
      </c>
      <c r="D49" s="11">
        <f>SUM(D43:D48)</f>
        <v>1830000</v>
      </c>
      <c r="E49" s="11">
        <f>SUM(E43:E48)</f>
        <v>1890000</v>
      </c>
      <c r="F49" s="11">
        <f>SUM(F43:F48)</f>
        <v>21560000</v>
      </c>
      <c r="G49" s="18" t="s">
        <v>120</v>
      </c>
    </row>
    <row r="50" spans="1:7" ht="30" customHeight="1">
      <c r="A50" s="15" t="s">
        <v>121</v>
      </c>
      <c r="B50" s="15"/>
      <c r="C50" s="15"/>
      <c r="D50" s="15"/>
      <c r="E50" s="15"/>
      <c r="F50" s="7">
        <f>B14</f>
        <v>18758948</v>
      </c>
      <c r="G50" s="16" t="s">
        <v>122</v>
      </c>
    </row>
  </sheetData>
  <mergeCells count="25">
    <mergeCell ref="C36:G36"/>
    <mergeCell ref="C39:G39"/>
    <mergeCell ref="E14:G14"/>
    <mergeCell ref="C32:G32"/>
    <mergeCell ref="E5:G5"/>
    <mergeCell ref="C38:G38"/>
    <mergeCell ref="E8:G8"/>
    <mergeCell ref="E17:G17"/>
    <mergeCell ref="C37:G37"/>
    <mergeCell ref="E9:G9"/>
    <mergeCell ref="E15:G15"/>
    <mergeCell ref="E6:G6"/>
    <mergeCell ref="C29:G29"/>
    <mergeCell ref="C35:G35"/>
    <mergeCell ref="E11:G11"/>
    <mergeCell ref="C31:G31"/>
    <mergeCell ref="E7:G7"/>
    <mergeCell ref="E16:G16"/>
    <mergeCell ref="E12:G12"/>
    <mergeCell ref="E18:G18"/>
    <mergeCell ref="E10:G10"/>
    <mergeCell ref="C30:G30"/>
    <mergeCell ref="C34:G34"/>
    <mergeCell ref="E13:G13"/>
    <mergeCell ref="C33:G33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月別目標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2026-10-07T00:52:34Z</dcterms:created>
  <dcterms:modified xsi:type="dcterms:W3CDTF">2026-10-07T00:52:39Z</dcterms:modified>
</cp:coreProperties>
</file>