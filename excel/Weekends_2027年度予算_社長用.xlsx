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taka-02\AppData\Local\Temp\claude\C--Users-yataka-02-Desktop-Claude\76fa42a7-01fc-42d8-86c7-11cf90447c56\scratchpad\margin-calculator\excel\"/>
    </mc:Choice>
  </mc:AlternateContent>
  <xr:revisionPtr revIDLastSave="0" documentId="13_ncr:1_{619C745D-295B-479C-BB68-D891DF3C59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月別目標" sheetId="1" r:id="rId1"/>
    <sheet name="年間損益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2" l="1"/>
  <c r="D25" i="2"/>
  <c r="C25" i="2"/>
  <c r="B25" i="2"/>
  <c r="D16" i="2"/>
  <c r="C16" i="2"/>
  <c r="B14" i="2"/>
  <c r="B15" i="2" s="1"/>
  <c r="B17" i="2" s="1"/>
  <c r="D13" i="2"/>
  <c r="C13" i="2"/>
  <c r="D12" i="2"/>
  <c r="C12" i="2"/>
  <c r="D9" i="2"/>
  <c r="C9" i="2"/>
  <c r="B8" i="2"/>
  <c r="D7" i="2"/>
  <c r="C7" i="2"/>
  <c r="D6" i="2"/>
  <c r="D11" i="2" s="1"/>
  <c r="C6" i="2"/>
  <c r="K19" i="1"/>
  <c r="J19" i="1"/>
  <c r="F19" i="1"/>
  <c r="F20" i="1" s="1"/>
  <c r="E19" i="1"/>
  <c r="E20" i="1" s="1"/>
  <c r="C19" i="1"/>
  <c r="B19" i="1"/>
  <c r="L18" i="1"/>
  <c r="K18" i="1"/>
  <c r="G18" i="1"/>
  <c r="D18" i="1"/>
  <c r="L17" i="1"/>
  <c r="K17" i="1"/>
  <c r="G17" i="1"/>
  <c r="D17" i="1"/>
  <c r="L16" i="1"/>
  <c r="K16" i="1"/>
  <c r="G16" i="1"/>
  <c r="D16" i="1"/>
  <c r="L15" i="1"/>
  <c r="K15" i="1"/>
  <c r="G15" i="1"/>
  <c r="D15" i="1"/>
  <c r="L14" i="1"/>
  <c r="K14" i="1"/>
  <c r="G14" i="1"/>
  <c r="D14" i="1"/>
  <c r="L13" i="1"/>
  <c r="K13" i="1"/>
  <c r="G13" i="1"/>
  <c r="D13" i="1"/>
  <c r="L12" i="1"/>
  <c r="K12" i="1"/>
  <c r="G12" i="1"/>
  <c r="D12" i="1"/>
  <c r="L11" i="1"/>
  <c r="K11" i="1"/>
  <c r="G11" i="1"/>
  <c r="D11" i="1"/>
  <c r="L10" i="1"/>
  <c r="K10" i="1"/>
  <c r="G10" i="1"/>
  <c r="D10" i="1"/>
  <c r="L9" i="1"/>
  <c r="K9" i="1"/>
  <c r="G9" i="1"/>
  <c r="D9" i="1"/>
  <c r="L8" i="1"/>
  <c r="K8" i="1"/>
  <c r="G8" i="1"/>
  <c r="D8" i="1"/>
  <c r="L7" i="1"/>
  <c r="L19" i="1" s="1"/>
  <c r="K7" i="1"/>
  <c r="G7" i="1"/>
  <c r="G19" i="1" s="1"/>
  <c r="D7" i="1"/>
  <c r="D19" i="1" s="1"/>
  <c r="D18" i="2" l="1"/>
  <c r="C18" i="2"/>
  <c r="D26" i="2"/>
  <c r="D10" i="2"/>
  <c r="H13" i="1"/>
  <c r="H11" i="1"/>
  <c r="H10" i="1"/>
  <c r="H8" i="1"/>
  <c r="H16" i="1"/>
  <c r="H15" i="1"/>
  <c r="H14" i="1"/>
  <c r="H12" i="1"/>
  <c r="H9" i="1"/>
  <c r="H7" i="1"/>
  <c r="C26" i="2"/>
  <c r="C10" i="2"/>
  <c r="H18" i="1"/>
  <c r="H17" i="1"/>
  <c r="D8" i="2"/>
  <c r="B4" i="1"/>
  <c r="C8" i="2"/>
  <c r="C4" i="1" s="1"/>
  <c r="A4" i="1"/>
  <c r="C11" i="2"/>
  <c r="G4" i="1" l="1"/>
  <c r="D14" i="2"/>
  <c r="D15" i="2" s="1"/>
  <c r="I8" i="1"/>
  <c r="I9" i="1"/>
  <c r="I11" i="1"/>
  <c r="I14" i="1"/>
  <c r="I15" i="1"/>
  <c r="I16" i="1"/>
  <c r="I18" i="1"/>
  <c r="I7" i="1"/>
  <c r="I10" i="1"/>
  <c r="I12" i="1"/>
  <c r="I13" i="1"/>
  <c r="H19" i="1"/>
  <c r="I17" i="1"/>
  <c r="C14" i="2"/>
  <c r="C15" i="2" s="1"/>
  <c r="F4" i="1"/>
  <c r="D17" i="2"/>
  <c r="E4" i="1"/>
  <c r="D4" i="1"/>
  <c r="C17" i="2"/>
</calcChain>
</file>

<file path=xl/sharedStrings.xml><?xml version="1.0" encoding="utf-8"?>
<sst xmlns="http://schemas.openxmlformats.org/spreadsheetml/2006/main" count="104" uniqueCount="101">
  <si>
    <t>Weekends 2027年度　月別の目標と損益（2026年8月〜2027年7月）</t>
  </si>
  <si>
    <t>金額は税抜・円。報奨金の判定はスマレジの粗利で行う。黄色の「実績粗利」を入れると、達成率と報奨金が出ます。</t>
  </si>
  <si>
    <t>年間の売上目標</t>
  </si>
  <si>
    <t>年間の粗利目標</t>
  </si>
  <si>
    <t>粗利率</t>
  </si>
  <si>
    <t>営業利益
（全月100%達成）</t>
  </si>
  <si>
    <t>営業利益
（全月105%達成）</t>
  </si>
  <si>
    <t>報奨金・年
（全月100%達成）</t>
  </si>
  <si>
    <t>報奨金・年
（全月105%達成）</t>
  </si>
  <si>
    <t>月</t>
  </si>
  <si>
    <t>前年売上
（実績）</t>
  </si>
  <si>
    <t>店長の予算
（スマレジ）</t>
  </si>
  <si>
    <t>構成比
（店長の予算）</t>
  </si>
  <si>
    <t>売上目標</t>
  </si>
  <si>
    <t>粗利目標
（100%）</t>
  </si>
  <si>
    <t>粗利目標
（105%）</t>
  </si>
  <si>
    <t>営業利益
（100%達成時）</t>
  </si>
  <si>
    <t>営業利益
の累計</t>
  </si>
  <si>
    <t>実績粗利
（スマレジ）</t>
  </si>
  <si>
    <t>達成率</t>
  </si>
  <si>
    <t>報奨金
（店舗計）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</si>
  <si>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</si>
  <si>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</si>
  <si>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</si>
  <si>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</si>
  <si>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</si>
  <si>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</si>
  <si>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</si>
  <si>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</si>
  <si>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</si>
  <si>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</si>
  <si>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</si>
  <si>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</si>
  <si>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年計</t>
  </si>
  <si>
    <t>年間目標との差</t>
  </si>
  <si>
    <t>・売上目標と粗利目標は、店長がスマレジに登録した予算の比率で配分し、売上は10万円単位、粗利は5万円単位に丸めた（年計を予算に合わせてある。目標を手で変えたら「年間目標との差」を0にする）。</t>
  </si>
  <si>
    <t>・営業利益は、その月の粗利目標をちょうど達成し報奨金3万円を払った場合。固定費（人件費・テナント固定分・その他の店舗経費・共通部の費用）は12等分した。</t>
  </si>
  <si>
    <t>・報奨金は、その月の粗利が粗利目標の100%以上で店舗計3万円、105%以上で5万円。1人あたりの額は「年間損益」シートの「2. 報奨金のルール」。</t>
  </si>
  <si>
    <t>・105%の粗利目標は月ごとに5万円単位で丸めたため、年計は2,265万円（2,150万円×105%＝2,257.5万円より7.5万円多い）。「年間損益」シートの105%欄は丸める前の2,257.5万円で計算している。</t>
  </si>
  <si>
    <t>・達成率の年計は、実績を入れた月だけで計算する。</t>
  </si>
  <si>
    <t>Weekends 2027年度　年間の損益（PL）と報奨金のルール</t>
  </si>
  <si>
    <t>金額は税抜・円。黄色のセルが入力値で、変えると2枚とも再計算されます。</t>
  </si>
  <si>
    <t>1. 年間の損益（PL）</t>
  </si>
  <si>
    <t>科目</t>
  </si>
  <si>
    <t>前年実績
（2025/8〜2026/7）</t>
  </si>
  <si>
    <t>2027年度予算
（全月100%達成）</t>
  </si>
  <si>
    <t>2027年度予算
（全月105%達成）</t>
  </si>
  <si>
    <t>説明</t>
  </si>
  <si>
    <t>売上高</t>
  </si>
  <si>
    <t>予算は年6,300万円。105%は売上も5%増えた場合</t>
  </si>
  <si>
    <t>売上総利益（粗利）</t>
  </si>
  <si>
    <t>前年は会計の粗利（棚卸の調整を含む）。報奨金の判定はスマレジの粗利で行う</t>
  </si>
  <si>
    <t>人件費（給与・賞与・法定福利）</t>
  </si>
  <si>
    <t>前年＝給与6,359,668＋賞与770,000＋法定福利961,899。予算は月80万円</t>
  </si>
  <si>
    <t>報奨金</t>
  </si>
  <si>
    <t>全月達成した場合。下の「2. 報奨金のルール」から計算</t>
  </si>
  <si>
    <t>テナント経費</t>
  </si>
  <si>
    <t>売上歩合制：固定分（月）×12＋売上×連動率</t>
  </si>
  <si>
    <t>その他の店舗経費</t>
  </si>
  <si>
    <t>管理諸費・減価償却・旅費・通信・消耗品など（発展会計 営業部）</t>
  </si>
  <si>
    <t>共通部の費用</t>
  </si>
  <si>
    <t>租税公課882,500（3月・7月）、消耗品・保険料など。中身は確認中</t>
  </si>
  <si>
    <t>販管費 計</t>
  </si>
  <si>
    <t>営業利益</t>
  </si>
  <si>
    <t>営業外損益</t>
  </si>
  <si>
    <t>前年＝受取利息・雑収入30,345−支払利息183,474。予算は費用30万円（社長案）</t>
  </si>
  <si>
    <t>経常利益</t>
  </si>
  <si>
    <t>損益分岐の売上（報奨金を払う前）</t>
  </si>
  <si>
    <t>これより売上が少ないと営業赤字（粗利率は予算どおりの場合）</t>
  </si>
  <si>
    <t>2. 報奨金のルール（その月の粗利がスマレジで目標以上なら、その月に支給の判定）</t>
  </si>
  <si>
    <t>区分</t>
  </si>
  <si>
    <t>人数</t>
  </si>
  <si>
    <t>粗利目標の100%以上
（1人・月）</t>
  </si>
  <si>
    <t>粗利目標の105%以上
（1人・月）</t>
  </si>
  <si>
    <t>店長</t>
  </si>
  <si>
    <t>古参パート</t>
  </si>
  <si>
    <t>その他パート</t>
  </si>
  <si>
    <t>店舗計（月）</t>
  </si>
  <si>
    <t>全月達成した場合（年）</t>
  </si>
  <si>
    <t>3. 前提（入力値）</t>
  </si>
  <si>
    <t>項目</t>
  </si>
  <si>
    <t>値</t>
  </si>
  <si>
    <t>出所・備考</t>
  </si>
  <si>
    <t>検討案</t>
  </si>
  <si>
    <t>検討案（粗利率34.1%）</t>
  </si>
  <si>
    <t>人件費（月）</t>
  </si>
  <si>
    <t>給与・賞与・法定福利込み。報奨金は別枠</t>
  </si>
  <si>
    <t>テナント経費の固定分（月）</t>
  </si>
  <si>
    <t>前年12か月の実績から算出（売上歩合制の固定部分）</t>
  </si>
  <si>
    <t>テナント経費の売上連動率</t>
  </si>
  <si>
    <t>同上（売上に比例する部分）</t>
  </si>
  <si>
    <t>その他の店舗経費（年）</t>
  </si>
  <si>
    <t>前年実績（発展会計 営業部）</t>
  </si>
  <si>
    <t>共通部の費用（年）</t>
  </si>
  <si>
    <t>前年実績（発展会計 全社−営業部）</t>
  </si>
  <si>
    <t>営業外費用（年）</t>
  </si>
  <si>
    <t>社長案</t>
  </si>
  <si>
    <t>報奨金の上の段階のライン</t>
  </si>
  <si>
    <t>粗利目標の105%</t>
  </si>
  <si>
    <t>年間の固定費（計算）</t>
  </si>
  <si>
    <t>人件費＋テナント固定分＋その他の店舗経費＋共通部の費用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</si>
</sst>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[Red]\-#,##0;\-"/>
    <numFmt numFmtId="177" formatCode="0.0%"/>
    <numFmt numFmtId="178" formatCode="0&quot;人&quot;"/>
  </numFmts>
  <fonts count="8"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1F4E9E"/>
      <name val="Meiryo UI"/>
      <family val="3"/>
      <charset val="128"/>
    </font>
    <font>
      <b/>
      <sz val="12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F5F"/>
      </patternFill>
    </fill>
    <fill>
      <patternFill patternType="solid">
        <fgColor rgb="FFE3EEF5"/>
      </patternFill>
    </fill>
    <fill>
      <patternFill patternType="solid">
        <fgColor rgb="FFFFF8D6"/>
      </patternFill>
    </fill>
  </fills>
  <borders count="4">
    <border>
      <left/>
      <right/>
      <top/>
      <bottom/>
      <diagonal/>
    </border>
    <border>
      <left style="thin">
        <color rgb="FFB7C4CF"/>
      </left>
      <right style="thin">
        <color rgb="FFB7C4CF"/>
      </right>
      <top style="thin">
        <color rgb="FFB7C4CF"/>
      </top>
      <bottom style="thin">
        <color rgb="FFB7C4CF"/>
      </bottom>
      <diagonal/>
    </border>
    <border>
      <left/>
      <right/>
      <top style="thin">
        <color rgb="FFB7C4CF"/>
      </top>
      <bottom style="thin">
        <color rgb="FFB7C4CF"/>
      </bottom>
      <diagonal/>
    </border>
    <border>
      <left/>
      <right style="thin">
        <color rgb="FFB7C4CF"/>
      </right>
      <top style="thin">
        <color rgb="FFB7C4CF"/>
      </top>
      <bottom style="thin">
        <color rgb="FFB7C4C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177" fontId="2" fillId="0" borderId="1" xfId="0" applyNumberFormat="1" applyFont="1" applyBorder="1"/>
    <xf numFmtId="176" fontId="5" fillId="4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/>
    <xf numFmtId="177" fontId="3" fillId="3" borderId="1" xfId="0" applyNumberFormat="1" applyFont="1" applyFill="1" applyBorder="1"/>
    <xf numFmtId="0" fontId="2" fillId="3" borderId="1" xfId="0" applyFont="1" applyFill="1" applyBorder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>
      <alignment vertical="center" wrapText="1"/>
    </xf>
    <xf numFmtId="178" fontId="2" fillId="0" borderId="1" xfId="0" applyNumberFormat="1" applyFont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/>
    <xf numFmtId="9" fontId="5" fillId="4" borderId="1" xfId="0" applyNumberFormat="1" applyFont="1" applyFill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6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3.2"/>
  <cols>
    <col min="1" max="7" width="17" customWidth="1"/>
    <col min="8" max="8" width="15" customWidth="1"/>
    <col min="9" max="10" width="14" customWidth="1"/>
    <col min="11" max="11" width="9" customWidth="1"/>
    <col min="12" max="12" width="12" customWidth="1"/>
  </cols>
  <sheetData>
    <row r="1" spans="1:12" ht="18.600000000000001">
      <c r="A1" s="1" t="s">
        <v>0</v>
      </c>
    </row>
    <row r="2" spans="1:12" ht="15">
      <c r="A2" s="2" t="s">
        <v>1</v>
      </c>
    </row>
    <row r="3" spans="1:12" ht="49.9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12" ht="24" customHeight="1">
      <c r="A4" s="4">
        <f>年間損益!C6</f>
        <v>63000000</v>
      </c>
      <c r="B4" s="4">
        <f>年間損益!C7</f>
        <v>21500000</v>
      </c>
      <c r="C4" s="5">
        <f>年間損益!C8</f>
        <v>0.34126984126984128</v>
      </c>
      <c r="D4" s="4">
        <f>年間損益!C15</f>
        <v>225776</v>
      </c>
      <c r="E4" s="4">
        <f>年間損益!D15</f>
        <v>842796</v>
      </c>
      <c r="F4" s="4">
        <f>年間損益!C10</f>
        <v>360000</v>
      </c>
      <c r="G4" s="4">
        <f>年間損益!D10</f>
        <v>600000</v>
      </c>
    </row>
    <row r="6" spans="1:12" ht="52.05" customHeight="1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  <c r="K6" s="6" t="s">
        <v>19</v>
      </c>
      <c r="L6" s="6" t="s">
        <v>20</v>
      </c>
    </row>
    <row r="7" spans="1:12" ht="15">
      <c r="A7" s="7" t="s">
        <v>21</v>
      </c>
      <c r="B7" s="8">
        <v>3040292</v>
      </c>
      <c r="C7" s="8">
        <v>3500000</v>
      </c>
      <c r="D7" s="9">
        <f t="shared" ref="D7:D18" si="0">C7/SUM($C$7:$C$18)</f>
        <v>5.8333333333333334E-2</v>
      </c>
      <c r="E7" s="10">
        <v>3700000</v>
      </c>
      <c r="F7" s="10">
        <v>1250000</v>
      </c>
      <c r="G7" s="8">
        <f>ROUND(F7*年間損益!$B$38/50000,0)*50000</f>
        <v>1300000</v>
      </c>
      <c r="H7" s="8">
        <f>F7-E7*年間損益!$B$34-年間損益!$B$39/12-年間損益!$C$25</f>
        <v>-415592</v>
      </c>
      <c r="I7" s="8">
        <f>SUM($H$7:H7)</f>
        <v>-415592</v>
      </c>
      <c r="J7" s="10"/>
      <c r="K7" s="9" t="str">
        <f t="shared" ref="K7:K18" si="1">IF(J7="","",J7/F7)</f>
        <v/>
      </c>
      <c r="L7" s="8" t="str">
        <f>IF(J7="","",IF(J7&gt;=G7,年間損益!$D$25,IF(J7&gt;=F7,年間損益!$C$25,0)))</f>
        <v/>
      </c>
    </row>
    <row r="8" spans="1:12" ht="15">
      <c r="A8" s="7" t="s">
        <v>22</v>
      </c>
      <c r="B8" s="8">
        <v>3638478</v>
      </c>
      <c r="C8" s="8">
        <v>4500000</v>
      </c>
      <c r="D8" s="9">
        <f t="shared" si="0"/>
        <v>7.4999999999999997E-2</v>
      </c>
      <c r="E8" s="10">
        <v>4700000</v>
      </c>
      <c r="F8" s="10">
        <v>1600000</v>
      </c>
      <c r="G8" s="8">
        <f>ROUND(F8*年間損益!$B$38/50000,0)*50000</f>
        <v>1700000</v>
      </c>
      <c r="H8" s="8">
        <f>F8-E8*年間損益!$B$34-年間損益!$B$39/12-年間損益!$C$25</f>
        <v>-134792</v>
      </c>
      <c r="I8" s="8">
        <f>SUM($H$7:H8)</f>
        <v>-550384</v>
      </c>
      <c r="J8" s="10"/>
      <c r="K8" s="9" t="str">
        <f t="shared" si="1"/>
        <v/>
      </c>
      <c r="L8" s="8" t="str">
        <f>IF(J8="","",IF(J8&gt;=G8,年間損益!$D$25,IF(J8&gt;=F8,年間損益!$C$25,0)))</f>
        <v/>
      </c>
    </row>
    <row r="9" spans="1:12" ht="15">
      <c r="A9" s="7" t="s">
        <v>23</v>
      </c>
      <c r="B9" s="8">
        <v>4934704</v>
      </c>
      <c r="C9" s="8">
        <v>5500000</v>
      </c>
      <c r="D9" s="9">
        <f t="shared" si="0"/>
        <v>9.166666666666666E-2</v>
      </c>
      <c r="E9" s="10">
        <v>5800000</v>
      </c>
      <c r="F9" s="10">
        <v>2000000</v>
      </c>
      <c r="G9" s="8">
        <f>ROUND(F9*年間損益!$B$38/50000,0)*50000</f>
        <v>2100000</v>
      </c>
      <c r="H9" s="8">
        <f>F9-E9*年間損益!$B$34-年間損益!$B$39/12-年間損益!$C$25</f>
        <v>189088</v>
      </c>
      <c r="I9" s="8">
        <f>SUM($H$7:H9)</f>
        <v>-361296</v>
      </c>
      <c r="J9" s="10"/>
      <c r="K9" s="9" t="str">
        <f t="shared" si="1"/>
        <v/>
      </c>
      <c r="L9" s="8" t="str">
        <f>IF(J9="","",IF(J9&gt;=G9,年間損益!$D$25,IF(J9&gt;=F9,年間損益!$C$25,0)))</f>
        <v/>
      </c>
    </row>
    <row r="10" spans="1:12" ht="15">
      <c r="A10" s="7" t="s">
        <v>24</v>
      </c>
      <c r="B10" s="8">
        <v>5149749</v>
      </c>
      <c r="C10" s="8">
        <v>5500000</v>
      </c>
      <c r="D10" s="9">
        <f t="shared" si="0"/>
        <v>9.166666666666666E-2</v>
      </c>
      <c r="E10" s="10">
        <v>5800000</v>
      </c>
      <c r="F10" s="10">
        <v>2000000</v>
      </c>
      <c r="G10" s="8">
        <f>ROUND(F10*年間損益!$B$38/50000,0)*50000</f>
        <v>2100000</v>
      </c>
      <c r="H10" s="8">
        <f>F10-E10*年間損益!$B$34-年間損益!$B$39/12-年間損益!$C$25</f>
        <v>189088</v>
      </c>
      <c r="I10" s="8">
        <f>SUM($H$7:H10)</f>
        <v>-172208</v>
      </c>
      <c r="J10" s="10"/>
      <c r="K10" s="9" t="str">
        <f t="shared" si="1"/>
        <v/>
      </c>
      <c r="L10" s="8" t="str">
        <f>IF(J10="","",IF(J10&gt;=G10,年間損益!$D$25,IF(J10&gt;=F10,年間損益!$C$25,0)))</f>
        <v/>
      </c>
    </row>
    <row r="11" spans="1:12" ht="15">
      <c r="A11" s="7" t="s">
        <v>25</v>
      </c>
      <c r="B11" s="8">
        <v>6820952</v>
      </c>
      <c r="C11" s="8">
        <v>7000000</v>
      </c>
      <c r="D11" s="9">
        <f t="shared" si="0"/>
        <v>0.11666666666666667</v>
      </c>
      <c r="E11" s="10">
        <v>7300000</v>
      </c>
      <c r="F11" s="10">
        <v>2500000</v>
      </c>
      <c r="G11" s="8">
        <f>ROUND(F11*年間損益!$B$38/50000,0)*50000</f>
        <v>2650000</v>
      </c>
      <c r="H11" s="8">
        <f>F11-E11*年間損益!$B$34-年間損益!$B$39/12-年間損益!$C$25</f>
        <v>585288</v>
      </c>
      <c r="I11" s="8">
        <f>SUM($H$7:H11)</f>
        <v>413080</v>
      </c>
      <c r="J11" s="10"/>
      <c r="K11" s="9" t="str">
        <f t="shared" si="1"/>
        <v/>
      </c>
      <c r="L11" s="8" t="str">
        <f>IF(J11="","",IF(J11&gt;=G11,年間損益!$D$25,IF(J11&gt;=F11,年間損益!$C$25,0)))</f>
        <v/>
      </c>
    </row>
    <row r="12" spans="1:12" ht="15">
      <c r="A12" s="7" t="s">
        <v>26</v>
      </c>
      <c r="B12" s="8">
        <v>4850701</v>
      </c>
      <c r="C12" s="8">
        <v>6000000</v>
      </c>
      <c r="D12" s="9">
        <f t="shared" si="0"/>
        <v>0.1</v>
      </c>
      <c r="E12" s="10">
        <v>6300000</v>
      </c>
      <c r="F12" s="10">
        <v>2100000</v>
      </c>
      <c r="G12" s="8">
        <f>ROUND(F12*年間損益!$B$38/50000,0)*50000</f>
        <v>2200000</v>
      </c>
      <c r="H12" s="8">
        <f>F12-E12*年間損益!$B$34-年間損益!$B$39/12-年間損益!$C$25</f>
        <v>254488</v>
      </c>
      <c r="I12" s="8">
        <f>SUM($H$7:H12)</f>
        <v>667568</v>
      </c>
      <c r="J12" s="10"/>
      <c r="K12" s="9" t="str">
        <f t="shared" si="1"/>
        <v/>
      </c>
      <c r="L12" s="8" t="str">
        <f>IF(J12="","",IF(J12&gt;=G12,年間損益!$D$25,IF(J12&gt;=F12,年間損益!$C$25,0)))</f>
        <v/>
      </c>
    </row>
    <row r="13" spans="1:12" ht="15">
      <c r="A13" s="7" t="s">
        <v>27</v>
      </c>
      <c r="B13" s="8">
        <v>2795656</v>
      </c>
      <c r="C13" s="8">
        <v>3500000</v>
      </c>
      <c r="D13" s="9">
        <f t="shared" si="0"/>
        <v>5.8333333333333334E-2</v>
      </c>
      <c r="E13" s="10">
        <v>3700000</v>
      </c>
      <c r="F13" s="10">
        <v>1250000</v>
      </c>
      <c r="G13" s="8">
        <f>ROUND(F13*年間損益!$B$38/50000,0)*50000</f>
        <v>1300000</v>
      </c>
      <c r="H13" s="8">
        <f>F13-E13*年間損益!$B$34-年間損益!$B$39/12-年間損益!$C$25</f>
        <v>-415592</v>
      </c>
      <c r="I13" s="8">
        <f>SUM($H$7:H13)</f>
        <v>251976</v>
      </c>
      <c r="J13" s="10"/>
      <c r="K13" s="9" t="str">
        <f t="shared" si="1"/>
        <v/>
      </c>
      <c r="L13" s="8" t="str">
        <f>IF(J13="","",IF(J13&gt;=G13,年間損益!$D$25,IF(J13&gt;=F13,年間損益!$C$25,0)))</f>
        <v/>
      </c>
    </row>
    <row r="14" spans="1:12" ht="15">
      <c r="A14" s="7" t="s">
        <v>28</v>
      </c>
      <c r="B14" s="8">
        <v>4419804</v>
      </c>
      <c r="C14" s="8">
        <v>5500000</v>
      </c>
      <c r="D14" s="9">
        <f t="shared" si="0"/>
        <v>9.166666666666666E-2</v>
      </c>
      <c r="E14" s="10">
        <v>5800000</v>
      </c>
      <c r="F14" s="10">
        <v>2000000</v>
      </c>
      <c r="G14" s="8">
        <f>ROUND(F14*年間損益!$B$38/50000,0)*50000</f>
        <v>2100000</v>
      </c>
      <c r="H14" s="8">
        <f>F14-E14*年間損益!$B$34-年間損益!$B$39/12-年間損益!$C$25</f>
        <v>189088</v>
      </c>
      <c r="I14" s="8">
        <f>SUM($H$7:H14)</f>
        <v>441064</v>
      </c>
      <c r="J14" s="10"/>
      <c r="K14" s="9" t="str">
        <f t="shared" si="1"/>
        <v/>
      </c>
      <c r="L14" s="8" t="str">
        <f>IF(J14="","",IF(J14&gt;=G14,年間損益!$D$25,IF(J14&gt;=F14,年間損益!$C$25,0)))</f>
        <v/>
      </c>
    </row>
    <row r="15" spans="1:12" ht="15">
      <c r="A15" s="7" t="s">
        <v>29</v>
      </c>
      <c r="B15" s="8">
        <v>3581469</v>
      </c>
      <c r="C15" s="8">
        <v>4500000</v>
      </c>
      <c r="D15" s="9">
        <f t="shared" si="0"/>
        <v>7.4999999999999997E-2</v>
      </c>
      <c r="E15" s="10">
        <v>4700000</v>
      </c>
      <c r="F15" s="10">
        <v>1600000</v>
      </c>
      <c r="G15" s="8">
        <f>ROUND(F15*年間損益!$B$38/50000,0)*50000</f>
        <v>1700000</v>
      </c>
      <c r="H15" s="8">
        <f>F15-E15*年間損益!$B$34-年間損益!$B$39/12-年間損益!$C$25</f>
        <v>-134792</v>
      </c>
      <c r="I15" s="8">
        <f>SUM($H$7:H15)</f>
        <v>306272</v>
      </c>
      <c r="J15" s="10"/>
      <c r="K15" s="9" t="str">
        <f t="shared" si="1"/>
        <v/>
      </c>
      <c r="L15" s="8" t="str">
        <f>IF(J15="","",IF(J15&gt;=G15,年間損益!$D$25,IF(J15&gt;=F15,年間損益!$C$25,0)))</f>
        <v/>
      </c>
    </row>
    <row r="16" spans="1:12" ht="15">
      <c r="A16" s="7" t="s">
        <v>30</v>
      </c>
      <c r="B16" s="8">
        <v>4799124</v>
      </c>
      <c r="C16" s="8">
        <v>4500000</v>
      </c>
      <c r="D16" s="9">
        <f t="shared" si="0"/>
        <v>7.4999999999999997E-2</v>
      </c>
      <c r="E16" s="10">
        <v>4700000</v>
      </c>
      <c r="F16" s="10">
        <v>1600000</v>
      </c>
      <c r="G16" s="8">
        <f>ROUND(F16*年間損益!$B$38/50000,0)*50000</f>
        <v>1700000</v>
      </c>
      <c r="H16" s="8">
        <f>F16-E16*年間損益!$B$34-年間損益!$B$39/12-年間損益!$C$25</f>
        <v>-134792</v>
      </c>
      <c r="I16" s="8">
        <f>SUM($H$7:H16)</f>
        <v>171480</v>
      </c>
      <c r="J16" s="10"/>
      <c r="K16" s="9" t="str">
        <f t="shared" si="1"/>
        <v/>
      </c>
      <c r="L16" s="8" t="str">
        <f>IF(J16="","",IF(J16&gt;=G16,年間損益!$D$25,IF(J16&gt;=F16,年間損益!$C$25,0)))</f>
        <v/>
      </c>
    </row>
    <row r="17" spans="1:12" ht="15">
      <c r="A17" s="7" t="s">
        <v>31</v>
      </c>
      <c r="B17" s="8">
        <v>4888307</v>
      </c>
      <c r="C17" s="8">
        <v>5500000</v>
      </c>
      <c r="D17" s="9">
        <f t="shared" si="0"/>
        <v>9.166666666666666E-2</v>
      </c>
      <c r="E17" s="10">
        <v>5800000</v>
      </c>
      <c r="F17" s="10">
        <v>2000000</v>
      </c>
      <c r="G17" s="8">
        <f>ROUND(F17*年間損益!$B$38/50000,0)*50000</f>
        <v>2100000</v>
      </c>
      <c r="H17" s="8">
        <f>F17-E17*年間損益!$B$34-年間損益!$B$39/12-年間損益!$C$25</f>
        <v>189088</v>
      </c>
      <c r="I17" s="8">
        <f>SUM($H$7:H17)</f>
        <v>360568</v>
      </c>
      <c r="J17" s="10"/>
      <c r="K17" s="9" t="str">
        <f t="shared" si="1"/>
        <v/>
      </c>
      <c r="L17" s="8" t="str">
        <f>IF(J17="","",IF(J17&gt;=G17,年間損益!$D$25,IF(J17&gt;=F17,年間損益!$C$25,0)))</f>
        <v/>
      </c>
    </row>
    <row r="18" spans="1:12" ht="15">
      <c r="A18" s="7" t="s">
        <v>32</v>
      </c>
      <c r="B18" s="8">
        <v>4741065</v>
      </c>
      <c r="C18" s="8">
        <v>4500000</v>
      </c>
      <c r="D18" s="9">
        <f t="shared" si="0"/>
        <v>7.4999999999999997E-2</v>
      </c>
      <c r="E18" s="10">
        <v>4700000</v>
      </c>
      <c r="F18" s="10">
        <v>1600000</v>
      </c>
      <c r="G18" s="8">
        <f>ROUND(F18*年間損益!$B$38/50000,0)*50000</f>
        <v>1700000</v>
      </c>
      <c r="H18" s="8">
        <f>F18-E18*年間損益!$B$34-年間損益!$B$39/12-年間損益!$C$25</f>
        <v>-134792</v>
      </c>
      <c r="I18" s="8">
        <f>SUM($H$7:H18)</f>
        <v>225776</v>
      </c>
      <c r="J18" s="10"/>
      <c r="K18" s="9" t="str">
        <f t="shared" si="1"/>
        <v/>
      </c>
      <c r="L18" s="8" t="str">
        <f>IF(J18="","",IF(J18&gt;=G18,年間損益!$D$25,IF(J18&gt;=F18,年間損益!$C$25,0)))</f>
        <v/>
      </c>
    </row>
    <row r="19" spans="1:12" ht="15">
      <c r="A19" s="11" t="s">
        <v>33</v>
      </c>
      <c r="B19" s="12">
        <f t="shared" ref="B19:H19" si="2">SUM(B7:B18)</f>
        <v>53660301</v>
      </c>
      <c r="C19" s="12">
        <f t="shared" si="2"/>
        <v>60000000</v>
      </c>
      <c r="D19" s="13">
        <f t="shared" si="2"/>
        <v>0.99999999999999989</v>
      </c>
      <c r="E19" s="12">
        <f t="shared" si="2"/>
        <v>63000000</v>
      </c>
      <c r="F19" s="12">
        <f t="shared" si="2"/>
        <v>21500000</v>
      </c>
      <c r="G19" s="12">
        <f t="shared" si="2"/>
        <v>22650000</v>
      </c>
      <c r="H19" s="12">
        <f t="shared" si="2"/>
        <v>225776</v>
      </c>
      <c r="I19" s="14"/>
      <c r="J19" s="12">
        <f>SUM(J7:J18)</f>
        <v>0</v>
      </c>
      <c r="K19" s="13" t="str">
        <f>IF(COUNT(J7:J18)=0,"",J19/SUMIF(J7:J18,"&lt;&gt;",F7:F18))</f>
        <v/>
      </c>
      <c r="L19" s="12">
        <f>SUM(L7:L18)</f>
        <v>0</v>
      </c>
    </row>
    <row r="20" spans="1:12" ht="15">
      <c r="A20" s="7" t="s">
        <v>34</v>
      </c>
      <c r="E20" s="8">
        <f>E19-年間損益!B30</f>
        <v>0</v>
      </c>
      <c r="F20" s="8">
        <f>F19-年間損益!B31</f>
        <v>0</v>
      </c>
    </row>
    <row r="22" spans="1:12" ht="15">
      <c r="A22" s="2" t="s">
        <v>35</v>
      </c>
    </row>
    <row r="23" spans="1:12" ht="15">
      <c r="A23" s="2" t="s">
        <v>36</v>
      </c>
    </row>
    <row r="24" spans="1:12" ht="15">
      <c r="A24" s="2" t="s">
        <v>37</v>
      </c>
    </row>
    <row r="25" spans="1:12" ht="15">
      <c r="A25" s="2" t="s">
        <v>38</v>
      </c>
    </row>
    <row r="26" spans="1:12" ht="15">
      <c r="A26" s="2" t="s">
        <v>39</v>
      </c>
    </row>
  </sheetData>
  <phoneticPr fontId="7"/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9"/>
  <sheetViews>
    <sheetView showGridLines="0" workbookViewId="0"/>
  </sheetViews>
  <sheetFormatPr defaultRowHeight="13.2"/>
  <cols>
    <col min="1" max="1" width="32" customWidth="1"/>
    <col min="2" max="4" width="18" customWidth="1"/>
    <col min="5" max="5" width="72" customWidth="1"/>
  </cols>
  <sheetData>
    <row r="1" spans="1:5" ht="18.600000000000001">
      <c r="A1" s="1" t="s">
        <v>40</v>
      </c>
    </row>
    <row r="2" spans="1:5" ht="15">
      <c r="A2" s="2" t="s">
        <v>41</v>
      </c>
    </row>
    <row r="4" spans="1:5" ht="15">
      <c r="A4" s="15" t="s">
        <v>42</v>
      </c>
    </row>
    <row r="5" spans="1:5" ht="49.95" customHeight="1">
      <c r="A5" s="6" t="s">
        <v>43</v>
      </c>
      <c r="B5" s="6" t="s">
        <v>44</v>
      </c>
      <c r="C5" s="6" t="s">
        <v>45</v>
      </c>
      <c r="D5" s="6" t="s">
        <v>46</v>
      </c>
      <c r="E5" s="6" t="s">
        <v>47</v>
      </c>
    </row>
    <row r="6" spans="1:5" ht="15">
      <c r="A6" s="16" t="s">
        <v>48</v>
      </c>
      <c r="B6" s="8">
        <v>53660301</v>
      </c>
      <c r="C6" s="8">
        <f>$B$30</f>
        <v>63000000</v>
      </c>
      <c r="D6" s="8">
        <f>$B$30*$B$38</f>
        <v>66150000</v>
      </c>
      <c r="E6" s="17" t="s">
        <v>49</v>
      </c>
    </row>
    <row r="7" spans="1:5" ht="15">
      <c r="A7" s="18" t="s">
        <v>50</v>
      </c>
      <c r="B7" s="12">
        <v>16612146</v>
      </c>
      <c r="C7" s="12">
        <f>$B$31</f>
        <v>21500000</v>
      </c>
      <c r="D7" s="12">
        <f>$B$31*$B$38</f>
        <v>22575000</v>
      </c>
      <c r="E7" s="19" t="s">
        <v>51</v>
      </c>
    </row>
    <row r="8" spans="1:5" ht="15">
      <c r="A8" s="16" t="s">
        <v>4</v>
      </c>
      <c r="B8" s="9">
        <f>B7/B6</f>
        <v>0.30957981394849055</v>
      </c>
      <c r="C8" s="9">
        <f>C7/C6</f>
        <v>0.34126984126984128</v>
      </c>
      <c r="D8" s="9">
        <f>D7/D6</f>
        <v>0.34126984126984128</v>
      </c>
      <c r="E8" s="17"/>
    </row>
    <row r="9" spans="1:5" ht="15">
      <c r="A9" s="16" t="s">
        <v>52</v>
      </c>
      <c r="B9" s="8">
        <v>8091567</v>
      </c>
      <c r="C9" s="8">
        <f>$B$32*12</f>
        <v>9600000</v>
      </c>
      <c r="D9" s="8">
        <f>$B$32*12</f>
        <v>9600000</v>
      </c>
      <c r="E9" s="17" t="s">
        <v>53</v>
      </c>
    </row>
    <row r="10" spans="1:5" ht="15">
      <c r="A10" s="16" t="s">
        <v>54</v>
      </c>
      <c r="B10" s="8">
        <v>0</v>
      </c>
      <c r="C10" s="8">
        <f>$C$25*12</f>
        <v>360000</v>
      </c>
      <c r="D10" s="8">
        <f>$D$25*12</f>
        <v>600000</v>
      </c>
      <c r="E10" s="17" t="s">
        <v>55</v>
      </c>
    </row>
    <row r="11" spans="1:5" ht="15">
      <c r="A11" s="16" t="s">
        <v>56</v>
      </c>
      <c r="B11" s="8">
        <v>6230261</v>
      </c>
      <c r="C11" s="8">
        <f>$B$33*12+C6*$B$34</f>
        <v>6877104</v>
      </c>
      <c r="D11" s="8">
        <f>$B$33*12+D6*$B$34</f>
        <v>7095084</v>
      </c>
      <c r="E11" s="17" t="s">
        <v>57</v>
      </c>
    </row>
    <row r="12" spans="1:5" ht="15">
      <c r="A12" s="16" t="s">
        <v>58</v>
      </c>
      <c r="B12" s="8">
        <v>3493268</v>
      </c>
      <c r="C12" s="8">
        <f>$B$35</f>
        <v>3493268</v>
      </c>
      <c r="D12" s="8">
        <f>$B$35</f>
        <v>3493268</v>
      </c>
      <c r="E12" s="17" t="s">
        <v>59</v>
      </c>
    </row>
    <row r="13" spans="1:5" ht="15">
      <c r="A13" s="16" t="s">
        <v>60</v>
      </c>
      <c r="B13" s="8">
        <v>943852</v>
      </c>
      <c r="C13" s="8">
        <f>$B$36</f>
        <v>943852</v>
      </c>
      <c r="D13" s="8">
        <f>$B$36</f>
        <v>943852</v>
      </c>
      <c r="E13" s="17" t="s">
        <v>61</v>
      </c>
    </row>
    <row r="14" spans="1:5" ht="15">
      <c r="A14" s="16" t="s">
        <v>62</v>
      </c>
      <c r="B14" s="8">
        <f>SUM(B9:B13)</f>
        <v>18758948</v>
      </c>
      <c r="C14" s="8">
        <f>SUM(C9:C13)</f>
        <v>21274224</v>
      </c>
      <c r="D14" s="8">
        <f>SUM(D9:D13)</f>
        <v>21732204</v>
      </c>
      <c r="E14" s="17"/>
    </row>
    <row r="15" spans="1:5" ht="15">
      <c r="A15" s="18" t="s">
        <v>63</v>
      </c>
      <c r="B15" s="12">
        <f>B7-B14</f>
        <v>-2146802</v>
      </c>
      <c r="C15" s="12">
        <f>C7-C14</f>
        <v>225776</v>
      </c>
      <c r="D15" s="12">
        <f>D7-D14</f>
        <v>842796</v>
      </c>
      <c r="E15" s="19"/>
    </row>
    <row r="16" spans="1:5" ht="30">
      <c r="A16" s="16" t="s">
        <v>64</v>
      </c>
      <c r="B16" s="8">
        <v>-153129</v>
      </c>
      <c r="C16" s="8">
        <f>-$B$37</f>
        <v>-300000</v>
      </c>
      <c r="D16" s="8">
        <f>-$B$37</f>
        <v>-300000</v>
      </c>
      <c r="E16" s="17" t="s">
        <v>65</v>
      </c>
    </row>
    <row r="17" spans="1:5" ht="15">
      <c r="A17" s="18" t="s">
        <v>66</v>
      </c>
      <c r="B17" s="12">
        <f>B15+B16</f>
        <v>-2299931</v>
      </c>
      <c r="C17" s="12">
        <f>C15+C16</f>
        <v>-74224</v>
      </c>
      <c r="D17" s="12">
        <f>D15+D16</f>
        <v>542796</v>
      </c>
      <c r="E17" s="19"/>
    </row>
    <row r="18" spans="1:5" ht="15">
      <c r="A18" s="16" t="s">
        <v>67</v>
      </c>
      <c r="B18" s="8"/>
      <c r="C18" s="8">
        <f>$B$39/($B$31/$B$30-$B$34)</f>
        <v>60846964.598259076</v>
      </c>
      <c r="D18" s="8">
        <f>$B$39/($B$31/$B$30-$B$34)</f>
        <v>60846964.598259076</v>
      </c>
      <c r="E18" s="17" t="s">
        <v>68</v>
      </c>
    </row>
    <row r="20" spans="1:5" ht="15">
      <c r="A20" s="15" t="s">
        <v>69</v>
      </c>
    </row>
    <row r="21" spans="1:5" ht="49.95" customHeight="1">
      <c r="A21" s="6" t="s">
        <v>70</v>
      </c>
      <c r="B21" s="6" t="s">
        <v>71</v>
      </c>
      <c r="C21" s="6" t="s">
        <v>72</v>
      </c>
      <c r="D21" s="6" t="s">
        <v>73</v>
      </c>
    </row>
    <row r="22" spans="1:5" ht="15">
      <c r="A22" s="16" t="s">
        <v>74</v>
      </c>
      <c r="B22" s="20">
        <v>1</v>
      </c>
      <c r="C22" s="10">
        <v>12000</v>
      </c>
      <c r="D22" s="10">
        <v>20000</v>
      </c>
    </row>
    <row r="23" spans="1:5" ht="15">
      <c r="A23" s="16" t="s">
        <v>75</v>
      </c>
      <c r="B23" s="20">
        <v>1</v>
      </c>
      <c r="C23" s="10">
        <v>8000</v>
      </c>
      <c r="D23" s="10">
        <v>14000</v>
      </c>
    </row>
    <row r="24" spans="1:5" ht="15">
      <c r="A24" s="16" t="s">
        <v>76</v>
      </c>
      <c r="B24" s="20">
        <v>2</v>
      </c>
      <c r="C24" s="10">
        <v>5000</v>
      </c>
      <c r="D24" s="10">
        <v>8000</v>
      </c>
    </row>
    <row r="25" spans="1:5" ht="15">
      <c r="A25" s="18" t="s">
        <v>77</v>
      </c>
      <c r="B25" s="21">
        <f>SUM(B22:B24)</f>
        <v>4</v>
      </c>
      <c r="C25" s="12">
        <f>SUMPRODUCT($B$22:$B$24,C22:C24)</f>
        <v>30000</v>
      </c>
      <c r="D25" s="12">
        <f>SUMPRODUCT($B$22:$B$24,D22:D24)</f>
        <v>50000</v>
      </c>
    </row>
    <row r="26" spans="1:5" ht="15">
      <c r="A26" s="16" t="s">
        <v>78</v>
      </c>
      <c r="B26" s="16"/>
      <c r="C26" s="8">
        <f>C25*12</f>
        <v>360000</v>
      </c>
      <c r="D26" s="8">
        <f>D25*12</f>
        <v>600000</v>
      </c>
    </row>
    <row r="28" spans="1:5" ht="15">
      <c r="A28" s="15" t="s">
        <v>79</v>
      </c>
    </row>
    <row r="29" spans="1:5" ht="15">
      <c r="A29" s="6" t="s">
        <v>80</v>
      </c>
      <c r="B29" s="6" t="s">
        <v>81</v>
      </c>
      <c r="C29" s="27" t="s">
        <v>82</v>
      </c>
      <c r="D29" s="25"/>
      <c r="E29" s="26"/>
    </row>
    <row r="30" spans="1:5" ht="15">
      <c r="A30" s="16" t="s">
        <v>2</v>
      </c>
      <c r="B30" s="10">
        <v>63000000</v>
      </c>
      <c r="C30" s="24" t="s">
        <v>83</v>
      </c>
      <c r="D30" s="25"/>
      <c r="E30" s="26"/>
    </row>
    <row r="31" spans="1:5" ht="15">
      <c r="A31" s="16" t="s">
        <v>3</v>
      </c>
      <c r="B31" s="10">
        <v>21500000</v>
      </c>
      <c r="C31" s="24" t="s">
        <v>84</v>
      </c>
      <c r="D31" s="25"/>
      <c r="E31" s="26"/>
    </row>
    <row r="32" spans="1:5" ht="15">
      <c r="A32" s="16" t="s">
        <v>85</v>
      </c>
      <c r="B32" s="10">
        <v>800000</v>
      </c>
      <c r="C32" s="24" t="s">
        <v>86</v>
      </c>
      <c r="D32" s="25"/>
      <c r="E32" s="26"/>
    </row>
    <row r="33" spans="1:5" ht="15">
      <c r="A33" s="16" t="s">
        <v>87</v>
      </c>
      <c r="B33" s="10">
        <v>209792</v>
      </c>
      <c r="C33" s="24" t="s">
        <v>88</v>
      </c>
      <c r="D33" s="25"/>
      <c r="E33" s="26"/>
    </row>
    <row r="34" spans="1:5" ht="15">
      <c r="A34" s="16" t="s">
        <v>89</v>
      </c>
      <c r="B34" s="22">
        <v>6.9199999999999998E-2</v>
      </c>
      <c r="C34" s="24" t="s">
        <v>90</v>
      </c>
      <c r="D34" s="25"/>
      <c r="E34" s="26"/>
    </row>
    <row r="35" spans="1:5" ht="15">
      <c r="A35" s="16" t="s">
        <v>91</v>
      </c>
      <c r="B35" s="10">
        <v>3493268</v>
      </c>
      <c r="C35" s="24" t="s">
        <v>92</v>
      </c>
      <c r="D35" s="25"/>
      <c r="E35" s="26"/>
    </row>
    <row r="36" spans="1:5" ht="15">
      <c r="A36" s="16" t="s">
        <v>93</v>
      </c>
      <c r="B36" s="10">
        <v>943852</v>
      </c>
      <c r="C36" s="24" t="s">
        <v>94</v>
      </c>
      <c r="D36" s="25"/>
      <c r="E36" s="26"/>
    </row>
    <row r="37" spans="1:5" ht="15">
      <c r="A37" s="16" t="s">
        <v>95</v>
      </c>
      <c r="B37" s="10">
        <v>300000</v>
      </c>
      <c r="C37" s="24" t="s">
        <v>96</v>
      </c>
      <c r="D37" s="25"/>
      <c r="E37" s="26"/>
    </row>
    <row r="38" spans="1:5" ht="15">
      <c r="A38" s="16" t="s">
        <v>97</v>
      </c>
      <c r="B38" s="23">
        <v>1.05</v>
      </c>
      <c r="C38" s="24" t="s">
        <v>98</v>
      </c>
      <c r="D38" s="25"/>
      <c r="E38" s="26"/>
    </row>
    <row r="39" spans="1:5" ht="15">
      <c r="A39" s="16" t="s">
        <v>99</v>
      </c>
      <c r="B39" s="8">
        <f>B32*12+B33*12+B35+B36</f>
        <v>16554624</v>
      </c>
      <c r="C39" s="24" t="s">
        <v>100</v>
      </c>
      <c r="D39" s="25"/>
      <c r="E39" s="26"/>
    </row>
  </sheetData>
  <mergeCells count="11">
    <mergeCell ref="C29:E29"/>
    <mergeCell ref="C30:E30"/>
    <mergeCell ref="C34:E34"/>
    <mergeCell ref="C35:E35"/>
    <mergeCell ref="C32:E32"/>
    <mergeCell ref="C33:E33"/>
    <mergeCell ref="C36:E36"/>
    <mergeCell ref="C37:E37"/>
    <mergeCell ref="C31:E31"/>
    <mergeCell ref="C39:E39"/>
    <mergeCell ref="C38:E38"/>
  </mergeCells>
  <phoneticPr fontId="7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月別目標</vt:lpstr>
      <vt:lpstr>年間損益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家高05</cp:lastModifiedBy>
  <dcterms:created xsi:type="dcterms:W3CDTF">2026-10-01T09:02:00Z</dcterms:created>
  <dcterms:modified xsi:type="dcterms:W3CDTF">2026-10-01T09:02:03Z</dcterms:modified>
</cp:coreProperties>
</file>