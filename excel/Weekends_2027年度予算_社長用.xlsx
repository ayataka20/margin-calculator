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yataka-02\AppData\Local\Temp\claude\C--Users-yataka-02-Desktop-Claude\76fa42a7-01fc-42d8-86c7-11cf90447c56\scratchpad\margin-calculator\excel\"/>
    </mc:Choice>
  </mc:AlternateContent>
  <xr:revisionPtr revIDLastSave="0" documentId="13_ncr:1_{CF462AA5-2080-4084-BCA6-E0D3FA75A2E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月別目標" sheetId="1" r:id="rId1"/>
    <sheet name="年間損益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8" i="2" l="1"/>
  <c r="C48" i="2" s="1"/>
  <c r="B47" i="2"/>
  <c r="C47" i="2" s="1"/>
  <c r="B45" i="2"/>
  <c r="C45" i="2" s="1"/>
  <c r="B43" i="2"/>
  <c r="C43" i="2" s="1"/>
  <c r="B39" i="2"/>
  <c r="D25" i="2"/>
  <c r="D26" i="2" s="1"/>
  <c r="C25" i="2"/>
  <c r="B25" i="2"/>
  <c r="D18" i="2"/>
  <c r="C18" i="2"/>
  <c r="D16" i="2"/>
  <c r="C16" i="2"/>
  <c r="B14" i="2"/>
  <c r="D13" i="2"/>
  <c r="C13" i="2"/>
  <c r="D12" i="2"/>
  <c r="C12" i="2"/>
  <c r="D9" i="2"/>
  <c r="C9" i="2"/>
  <c r="B8" i="2"/>
  <c r="C7" i="2"/>
  <c r="C6" i="2"/>
  <c r="C11" i="2" s="1"/>
  <c r="L19" i="1"/>
  <c r="K19" i="1"/>
  <c r="F19" i="1"/>
  <c r="E19" i="1"/>
  <c r="C19" i="1"/>
  <c r="B19" i="1"/>
  <c r="M18" i="1"/>
  <c r="L18" i="1"/>
  <c r="G18" i="1"/>
  <c r="D18" i="1"/>
  <c r="M17" i="1"/>
  <c r="L17" i="1"/>
  <c r="G17" i="1"/>
  <c r="D17" i="1"/>
  <c r="M16" i="1"/>
  <c r="L16" i="1"/>
  <c r="G16" i="1"/>
  <c r="D16" i="1"/>
  <c r="M15" i="1"/>
  <c r="L15" i="1"/>
  <c r="G15" i="1"/>
  <c r="D15" i="1"/>
  <c r="M14" i="1"/>
  <c r="L14" i="1"/>
  <c r="G14" i="1"/>
  <c r="D14" i="1"/>
  <c r="M13" i="1"/>
  <c r="L13" i="1"/>
  <c r="G13" i="1"/>
  <c r="D13" i="1"/>
  <c r="M12" i="1"/>
  <c r="L12" i="1"/>
  <c r="G12" i="1"/>
  <c r="D12" i="1"/>
  <c r="M11" i="1"/>
  <c r="L11" i="1"/>
  <c r="G11" i="1"/>
  <c r="D11" i="1"/>
  <c r="M10" i="1"/>
  <c r="L10" i="1"/>
  <c r="G10" i="1"/>
  <c r="D10" i="1"/>
  <c r="M9" i="1"/>
  <c r="L9" i="1"/>
  <c r="G9" i="1"/>
  <c r="D9" i="1"/>
  <c r="M8" i="1"/>
  <c r="L8" i="1"/>
  <c r="G8" i="1"/>
  <c r="D8" i="1"/>
  <c r="M7" i="1"/>
  <c r="M19" i="1" s="1"/>
  <c r="L7" i="1"/>
  <c r="G7" i="1"/>
  <c r="G19" i="1" s="1"/>
  <c r="D7" i="1"/>
  <c r="C4" i="1"/>
  <c r="B4" i="1"/>
  <c r="A4" i="1"/>
  <c r="H11" i="1" l="1"/>
  <c r="I11" i="1" s="1"/>
  <c r="C8" i="2"/>
  <c r="D19" i="1"/>
  <c r="D10" i="2"/>
  <c r="C10" i="2"/>
  <c r="H16" i="1"/>
  <c r="I16" i="1" s="1"/>
  <c r="H15" i="1"/>
  <c r="I15" i="1" s="1"/>
  <c r="H14" i="1"/>
  <c r="I14" i="1" s="1"/>
  <c r="H13" i="1"/>
  <c r="I13" i="1" s="1"/>
  <c r="H12" i="1"/>
  <c r="I12" i="1" s="1"/>
  <c r="H10" i="1"/>
  <c r="I10" i="1" s="1"/>
  <c r="H9" i="1"/>
  <c r="I9" i="1" s="1"/>
  <c r="H8" i="1"/>
  <c r="I8" i="1" s="1"/>
  <c r="H7" i="1"/>
  <c r="H18" i="1"/>
  <c r="I18" i="1" s="1"/>
  <c r="H17" i="1"/>
  <c r="I17" i="1" s="1"/>
  <c r="B44" i="2"/>
  <c r="C26" i="2"/>
  <c r="B50" i="2"/>
  <c r="B15" i="2"/>
  <c r="B17" i="2" s="1"/>
  <c r="C50" i="2"/>
  <c r="D7" i="2"/>
  <c r="F20" i="1"/>
  <c r="D4" i="1" s="1"/>
  <c r="D6" i="2"/>
  <c r="D11" i="2" s="1"/>
  <c r="E20" i="1"/>
  <c r="B46" i="2"/>
  <c r="C46" i="2" s="1"/>
  <c r="C14" i="2" l="1"/>
  <c r="C15" i="2" s="1"/>
  <c r="G4" i="1"/>
  <c r="I7" i="1"/>
  <c r="H19" i="1"/>
  <c r="C44" i="2"/>
  <c r="C49" i="2" s="1"/>
  <c r="B49" i="2"/>
  <c r="D8" i="2"/>
  <c r="D14" i="2"/>
  <c r="D15" i="2" s="1"/>
  <c r="C17" i="2" l="1"/>
  <c r="E4" i="1"/>
  <c r="J7" i="1"/>
  <c r="J8" i="1"/>
  <c r="J9" i="1"/>
  <c r="J10" i="1"/>
  <c r="J11" i="1"/>
  <c r="J12" i="1"/>
  <c r="J13" i="1"/>
  <c r="J14" i="1"/>
  <c r="J15" i="1"/>
  <c r="J16" i="1"/>
  <c r="I19" i="1"/>
  <c r="J17" i="1"/>
  <c r="J18" i="1"/>
  <c r="D17" i="2"/>
  <c r="F4" i="1"/>
</calcChain>
</file>

<file path=xl/sharedStrings.xml><?xml version="1.0" encoding="utf-8"?>
<sst xmlns="http://schemas.openxmlformats.org/spreadsheetml/2006/main" count="126" uniqueCount="120">
  <si>
    <t>Weekends 2027年度　月別の目標と損益（2026年8月〜2027年7月）</t>
  </si>
  <si>
    <t>金額は税抜・円。報奨金の判定はスマレジの粗利で行う。黄色の「実績粗利」を入れると、達成率と報奨金が出ます。</t>
  </si>
  <si>
    <t>年間の予算
（売上）</t>
  </si>
  <si>
    <t>年間の予算
（粗利）</t>
  </si>
  <si>
    <t>月の目標の
合計（粗利）</t>
  </si>
  <si>
    <t>予算との差
（上乗せ分）</t>
  </si>
  <si>
    <t>営業利益
（予算どおり）</t>
  </si>
  <si>
    <t>営業利益
（全月目標達成）</t>
  </si>
  <si>
    <t>報奨金・年
（全月達成）</t>
  </si>
  <si>
    <t>月</t>
  </si>
  <si>
    <t>前年売上
（実績）</t>
  </si>
  <si>
    <t>店長の予算
（スマレジ）</t>
  </si>
  <si>
    <t>構成比
（店長の予算）</t>
  </si>
  <si>
    <t>売上目標</t>
  </si>
  <si>
    <t>粗利目標
（100%）</t>
  </si>
  <si>
    <t>粗利目標
（105%）</t>
  </si>
  <si>
    <t>販管費
（100%達成時）</t>
  </si>
  <si>
    <t>営業利益
（100%達成時）</t>
  </si>
  <si>
    <t>営業利益
の累計</t>
  </si>
  <si>
    <t>実績粗利
（スマレジ）</t>
  </si>
  <si>
    <t>達成率</t>
  </si>
  <si>
    <t>報奨金
（店舗計）</t>
  </si>
  <si>
    <t>8月</t>
  </si>
  <si>
    <t>9月</t>
  </si>
  <si>
    <t>10月</t>
  </si>
  <si>
    <t>11月</t>
  </si>
  <si>
    <t>12月</t>
  </si>
  <si>
    <t>1月</t>
  </si>
  <si>
    <t>2月</t>
  </si>
  <si>
    <t>3月</t>
  </si>
  <si>
    <t>4月</t>
  </si>
  <si>
    <t>5月</t>
  </si>
  <si>
    <t>6月</t>
  </si>
  <si>
    <t>7月</t>
  </si>
  <si>
    <t>年計</t>
  </si>
  <si>
    <t>年間予算との差</t>
  </si>
  <si>
    <t>・月の目標＝店長がスマレジに登録した予算×粗利率（売上は店長の予算そのまま、粗利は5万円単位）。ただし、それでは営業利益が赤字になる月（8・9・2・4・5・7月）は、販管費を賄える粗利180万円・売上530万円に引き上げた。</t>
  </si>
  <si>
    <t>・その結果、月の目標の合計（粗利2,285万円）は年間予算（2,150万円）より135万円多い。月の目標がいくつか未達でも年間予算には届く余裕になる。</t>
  </si>
  <si>
    <t>・販管費と営業利益は、その月の粗利目標をちょうど達成し報奨金3万円を払った場合。販管費＝固定費（人件費・テナント固定分・その他の店舗経費・共通部の費用を12等分、月137.9万円）＋報奨金3万円＋テナント歩合（売上×6.92%）。</t>
  </si>
  <si>
    <t>・報奨金は、その月の粗利が粗利目標の100%以上で店舗計3万円、105%以上で5万円。1人あたりの額は「年間損益」シートの「2. 報奨金のルール」。</t>
  </si>
  <si>
    <t>・達成率の年計は、実績を入れた月だけで計算する。</t>
  </si>
  <si>
    <t>Weekends 2027年度　年間の損益（PL）と報奨金のルール</t>
  </si>
  <si>
    <t>金額は税抜・円。黄色のセルが入力値で、変えると2枚とも再計算されます。</t>
  </si>
  <si>
    <t>1. 年間の損益（PL）</t>
  </si>
  <si>
    <t>科目</t>
  </si>
  <si>
    <t>前年実績
（2025/8〜2026/7）</t>
  </si>
  <si>
    <t>2027年度予算
（年間の予算どおり）</t>
  </si>
  <si>
    <t>月の目標を
全月達成した場合</t>
  </si>
  <si>
    <t>説明</t>
  </si>
  <si>
    <t>売上高</t>
  </si>
  <si>
    <t>予算は年6,300万円。月の目標の合計は6,680万円（「月別目標」シートの年計）</t>
  </si>
  <si>
    <t>売上総利益（粗利）</t>
  </si>
  <si>
    <t>予算は2,150万円、月の目標の合計は2,285万円。前年は会計の粗利（棚卸の調整を含む）</t>
  </si>
  <si>
    <t>粗利率</t>
  </si>
  <si>
    <t>人件費（給与・賞与・法定福利）</t>
  </si>
  <si>
    <t>前年＝給与6,359,668＋賞与770,000＋法定福利961,899。予算は月80万円</t>
  </si>
  <si>
    <t>報奨金</t>
  </si>
  <si>
    <t>全月で月3万円を支給した場合（予算の列も、利益を少なめに見るため全月支給と仮定）</t>
  </si>
  <si>
    <t>テナント経費</t>
  </si>
  <si>
    <t>売上歩合制：固定分（月）×12＋売上×連動率</t>
  </si>
  <si>
    <t>その他の店舗経費</t>
  </si>
  <si>
    <t>管理諸費・減価償却・旅費・通信・消耗品など（発展会計 営業部）</t>
  </si>
  <si>
    <t>共通部の費用</t>
  </si>
  <si>
    <t>租税公課882,500（3月・7月）、消耗品・保険料など。中身は確認中</t>
  </si>
  <si>
    <t>販管費 計</t>
  </si>
  <si>
    <t>営業利益</t>
  </si>
  <si>
    <t>営業外損益</t>
  </si>
  <si>
    <t>前年＝受取利息・雑収入30,345−支払利息183,474。予算は費用30万円（社長案）</t>
  </si>
  <si>
    <t>経常利益</t>
  </si>
  <si>
    <t>損益分岐の売上（報奨金を払う前）</t>
  </si>
  <si>
    <t>これより売上が少ないと営業赤字（粗利率は予算どおりの場合）</t>
  </si>
  <si>
    <t>2. 報奨金のルール（その月の粗利がスマレジで目標以上なら、その月に支給の判定）</t>
  </si>
  <si>
    <t>区分</t>
  </si>
  <si>
    <t>人数</t>
  </si>
  <si>
    <t>粗利目標の100%以上
（1人・月）</t>
  </si>
  <si>
    <t>粗利目標の105%以上
（1人・月）</t>
  </si>
  <si>
    <t>店長</t>
  </si>
  <si>
    <t>古参パート</t>
  </si>
  <si>
    <t>その他パート</t>
  </si>
  <si>
    <t>店舗計（月）</t>
  </si>
  <si>
    <t>全月達成した場合（年）</t>
  </si>
  <si>
    <t>3. 前提（入力値）</t>
  </si>
  <si>
    <t>項目</t>
  </si>
  <si>
    <t>値</t>
  </si>
  <si>
    <t>出所・備考</t>
  </si>
  <si>
    <t>年間の売上目標</t>
  </si>
  <si>
    <t>年間予算（決算上の目標）。月の目標の合計とは別</t>
  </si>
  <si>
    <t>年間の粗利目標</t>
  </si>
  <si>
    <t>検討案（粗利率34.1%）</t>
  </si>
  <si>
    <t>人件費（月）</t>
  </si>
  <si>
    <t>給与・賞与・法定福利込み。報奨金は別枠</t>
  </si>
  <si>
    <t>テナント経費の固定分（月）</t>
  </si>
  <si>
    <t>前年12か月の実績から算出（売上歩合制の固定部分）</t>
  </si>
  <si>
    <t>テナント経費の売上連動率</t>
  </si>
  <si>
    <t>同上（売上に比例する部分）</t>
  </si>
  <si>
    <t>その他の店舗経費（年）</t>
  </si>
  <si>
    <t>前年実績（発展会計 営業部）</t>
  </si>
  <si>
    <t>共通部の費用（年）</t>
  </si>
  <si>
    <t>前年実績（発展会計 全社−営業部）</t>
  </si>
  <si>
    <t>営業外費用（年）</t>
  </si>
  <si>
    <t>社長案</t>
  </si>
  <si>
    <t>報奨金の上の段階のライン</t>
  </si>
  <si>
    <t>粗利目標の105%</t>
  </si>
  <si>
    <t>年間の固定費（計算）</t>
  </si>
  <si>
    <t>人件費＋テナント固定分＋その他の店舗経費＋共通部の費用</t>
  </si>
  <si>
    <t>4. 1か月の販管費（月の目標を全月達成した場合）</t>
  </si>
  <si>
    <t>1か月</t>
  </si>
  <si>
    <t>年間</t>
  </si>
  <si>
    <t>決まり方</t>
  </si>
  <si>
    <t>毎月同じ（賞与も12等分して含めている）</t>
  </si>
  <si>
    <t>粗利目標を達成した月だけ。105%以上なら5万円</t>
  </si>
  <si>
    <t>テナント経費（固定分）</t>
  </si>
  <si>
    <t>毎月同じ</t>
  </si>
  <si>
    <t>テナント経費（売上歩合）</t>
  </si>
  <si>
    <t>売上×6.92%。月の売上で変わる（ここは12か月の平均。月別は「月別目標」シートの販管費の列）</t>
  </si>
  <si>
    <t>毎月同じ（前年実績の12等分）</t>
  </si>
  <si>
    <t>毎月同じ（前年は3月・7月の租税公課に集中。12等分している）</t>
  </si>
  <si>
    <t>年間は「1. 年間の損益」の販管費 計（月の目標を全月達成）と同じ</t>
  </si>
  <si>
    <t>参考：前年実績（月平均）</t>
  </si>
  <si>
    <t>前年は月119万円（8月）〜234万円（7月）。賞与（12月・7月）と租税公課（3月・7月）の月に増える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</si>
</sst>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#,##0;[Red]\-#,##0;\-"/>
    <numFmt numFmtId="177" formatCode="0.0%"/>
    <numFmt numFmtId="178" formatCode="0&quot;人&quot;"/>
  </numFmts>
  <fonts count="8">
    <font>
      <sz val="11"/>
      <color theme="1"/>
      <name val="ＭＳ Ｐゴシック"/>
      <family val="2"/>
      <scheme val="minor"/>
    </font>
    <font>
      <b/>
      <sz val="14"/>
      <name val="Meiryo UI"/>
      <family val="3"/>
      <charset val="128"/>
    </font>
    <font>
      <sz val="11"/>
      <name val="Meiryo UI"/>
      <family val="3"/>
      <charset val="128"/>
    </font>
    <font>
      <b/>
      <sz val="11"/>
      <name val="Meiryo UI"/>
      <family val="3"/>
      <charset val="128"/>
    </font>
    <font>
      <b/>
      <sz val="11"/>
      <color rgb="FFFFFFFF"/>
      <name val="Meiryo UI"/>
      <family val="3"/>
      <charset val="128"/>
    </font>
    <font>
      <sz val="11"/>
      <color rgb="FF1F4E9E"/>
      <name val="Meiryo UI"/>
      <family val="3"/>
      <charset val="128"/>
    </font>
    <font>
      <b/>
      <sz val="12"/>
      <name val="Meiryo UI"/>
      <family val="3"/>
      <charset val="128"/>
    </font>
    <font>
      <sz val="6"/>
      <name val="ＭＳ Ｐゴシック"/>
      <family val="3"/>
      <charset val="128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73F5F"/>
      </patternFill>
    </fill>
    <fill>
      <patternFill patternType="solid">
        <fgColor rgb="FFE3EEF5"/>
      </patternFill>
    </fill>
    <fill>
      <patternFill patternType="solid">
        <fgColor rgb="FFFFF8D6"/>
      </patternFill>
    </fill>
  </fills>
  <borders count="4">
    <border>
      <left/>
      <right/>
      <top/>
      <bottom/>
      <diagonal/>
    </border>
    <border>
      <left style="thin">
        <color rgb="FFB7C4CF"/>
      </left>
      <right style="thin">
        <color rgb="FFB7C4CF"/>
      </right>
      <top style="thin">
        <color rgb="FFB7C4CF"/>
      </top>
      <bottom style="thin">
        <color rgb="FFB7C4CF"/>
      </bottom>
      <diagonal/>
    </border>
    <border>
      <left/>
      <right/>
      <top style="thin">
        <color rgb="FFB7C4CF"/>
      </top>
      <bottom style="thin">
        <color rgb="FFB7C4CF"/>
      </bottom>
      <diagonal/>
    </border>
    <border>
      <left/>
      <right style="thin">
        <color rgb="FFB7C4CF"/>
      </right>
      <top style="thin">
        <color rgb="FFB7C4CF"/>
      </top>
      <bottom style="thin">
        <color rgb="FFB7C4CF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0" fontId="2" fillId="0" borderId="0" xfId="0" applyFont="1"/>
    <xf numFmtId="0" fontId="3" fillId="3" borderId="1" xfId="0" applyFont="1" applyFill="1" applyBorder="1" applyAlignment="1">
      <alignment horizontal="center" vertical="center" wrapText="1"/>
    </xf>
    <xf numFmtId="176" fontId="6" fillId="0" borderId="1" xfId="0" applyNumberFormat="1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176" fontId="2" fillId="0" borderId="1" xfId="0" applyNumberFormat="1" applyFont="1" applyBorder="1"/>
    <xf numFmtId="177" fontId="2" fillId="0" borderId="1" xfId="0" applyNumberFormat="1" applyFont="1" applyBorder="1"/>
    <xf numFmtId="176" fontId="5" fillId="4" borderId="1" xfId="0" applyNumberFormat="1" applyFont="1" applyFill="1" applyBorder="1"/>
    <xf numFmtId="0" fontId="3" fillId="3" borderId="1" xfId="0" applyFont="1" applyFill="1" applyBorder="1" applyAlignment="1">
      <alignment horizontal="center" vertical="center"/>
    </xf>
    <xf numFmtId="176" fontId="3" fillId="3" borderId="1" xfId="0" applyNumberFormat="1" applyFont="1" applyFill="1" applyBorder="1"/>
    <xf numFmtId="177" fontId="3" fillId="3" borderId="1" xfId="0" applyNumberFormat="1" applyFont="1" applyFill="1" applyBorder="1"/>
    <xf numFmtId="0" fontId="2" fillId="3" borderId="1" xfId="0" applyFont="1" applyFill="1" applyBorder="1"/>
    <xf numFmtId="0" fontId="3" fillId="0" borderId="0" xfId="0" applyFont="1"/>
    <xf numFmtId="0" fontId="2" fillId="0" borderId="1" xfId="0" applyFont="1" applyBorder="1"/>
    <xf numFmtId="0" fontId="2" fillId="0" borderId="1" xfId="0" applyFont="1" applyBorder="1" applyAlignment="1">
      <alignment vertical="center" wrapText="1"/>
    </xf>
    <xf numFmtId="0" fontId="3" fillId="3" borderId="1" xfId="0" applyFont="1" applyFill="1" applyBorder="1"/>
    <xf numFmtId="0" fontId="2" fillId="3" borderId="1" xfId="0" applyFont="1" applyFill="1" applyBorder="1" applyAlignment="1">
      <alignment vertical="center" wrapText="1"/>
    </xf>
    <xf numFmtId="178" fontId="2" fillId="0" borderId="1" xfId="0" applyNumberFormat="1" applyFont="1" applyBorder="1" applyAlignment="1">
      <alignment horizontal="center" vertical="center"/>
    </xf>
    <xf numFmtId="178" fontId="3" fillId="3" borderId="1" xfId="0" applyNumberFormat="1" applyFont="1" applyFill="1" applyBorder="1" applyAlignment="1">
      <alignment horizontal="center" vertical="center"/>
    </xf>
    <xf numFmtId="10" fontId="5" fillId="4" borderId="1" xfId="0" applyNumberFormat="1" applyFont="1" applyFill="1" applyBorder="1"/>
    <xf numFmtId="9" fontId="5" fillId="4" borderId="1" xfId="0" applyNumberFormat="1" applyFont="1" applyFill="1" applyBorder="1"/>
    <xf numFmtId="0" fontId="2" fillId="0" borderId="1" xfId="0" applyFont="1" applyBorder="1"/>
    <xf numFmtId="0" fontId="0" fillId="0" borderId="2" xfId="0" applyBorder="1"/>
    <xf numFmtId="0" fontId="0" fillId="0" borderId="3" xfId="0" applyBorder="1"/>
    <xf numFmtId="0" fontId="2" fillId="3" borderId="1" xfId="0" applyFont="1" applyFill="1" applyBorder="1"/>
    <xf numFmtId="0" fontId="4" fillId="2" borderId="1" xfId="0" applyFont="1" applyFill="1" applyBorder="1" applyAlignment="1">
      <alignment horizontal="center" vertical="center" wrapText="1"/>
    </xf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M26"/>
  <sheetViews>
    <sheetView showGridLines="0" tabSelected="1" workbookViewId="0">
      <pane xSplit="1" ySplit="6" topLeftCell="B7" activePane="bottomRight" state="frozen"/>
      <selection pane="topRight"/>
      <selection pane="bottomLeft"/>
      <selection pane="bottomRight"/>
    </sheetView>
  </sheetViews>
  <sheetFormatPr defaultRowHeight="13.2"/>
  <cols>
    <col min="1" max="1" width="17" customWidth="1"/>
    <col min="2" max="3" width="15" customWidth="1"/>
    <col min="4" max="4" width="14" customWidth="1"/>
    <col min="5" max="9" width="15" customWidth="1"/>
    <col min="10" max="11" width="14" customWidth="1"/>
    <col min="12" max="12" width="9" customWidth="1"/>
    <col min="13" max="13" width="12" customWidth="1"/>
  </cols>
  <sheetData>
    <row r="1" spans="1:13" ht="18.600000000000001">
      <c r="A1" s="1" t="s">
        <v>0</v>
      </c>
    </row>
    <row r="2" spans="1:13" ht="15">
      <c r="A2" s="2" t="s">
        <v>1</v>
      </c>
    </row>
    <row r="3" spans="1:13" ht="49.95" customHeight="1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</row>
    <row r="4" spans="1:13" ht="24" customHeight="1">
      <c r="A4" s="4">
        <f>年間損益!C6</f>
        <v>63000000</v>
      </c>
      <c r="B4" s="4">
        <f>年間損益!C7</f>
        <v>21500000</v>
      </c>
      <c r="C4" s="4">
        <f>F19</f>
        <v>22850000</v>
      </c>
      <c r="D4" s="4">
        <f>F20</f>
        <v>1350000</v>
      </c>
      <c r="E4" s="4">
        <f>年間損益!C15</f>
        <v>225776</v>
      </c>
      <c r="F4" s="4">
        <f>年間損益!D15</f>
        <v>1312816</v>
      </c>
      <c r="G4" s="4">
        <f>年間損益!C10</f>
        <v>360000</v>
      </c>
    </row>
    <row r="6" spans="1:13" ht="52.05" customHeight="1">
      <c r="A6" s="5" t="s">
        <v>9</v>
      </c>
      <c r="B6" s="5" t="s">
        <v>10</v>
      </c>
      <c r="C6" s="5" t="s">
        <v>11</v>
      </c>
      <c r="D6" s="5" t="s">
        <v>12</v>
      </c>
      <c r="E6" s="5" t="s">
        <v>13</v>
      </c>
      <c r="F6" s="5" t="s">
        <v>14</v>
      </c>
      <c r="G6" s="5" t="s">
        <v>15</v>
      </c>
      <c r="H6" s="5" t="s">
        <v>16</v>
      </c>
      <c r="I6" s="5" t="s">
        <v>17</v>
      </c>
      <c r="J6" s="5" t="s">
        <v>18</v>
      </c>
      <c r="K6" s="5" t="s">
        <v>19</v>
      </c>
      <c r="L6" s="5" t="s">
        <v>20</v>
      </c>
      <c r="M6" s="5" t="s">
        <v>21</v>
      </c>
    </row>
    <row r="7" spans="1:13" ht="15">
      <c r="A7" s="6" t="s">
        <v>22</v>
      </c>
      <c r="B7" s="7">
        <v>3040292</v>
      </c>
      <c r="C7" s="7">
        <v>3500000</v>
      </c>
      <c r="D7" s="8">
        <f t="shared" ref="D7:D18" si="0">C7/SUM($C$7:$C$18)</f>
        <v>5.8333333333333334E-2</v>
      </c>
      <c r="E7" s="9">
        <v>5300000</v>
      </c>
      <c r="F7" s="9">
        <v>1800000</v>
      </c>
      <c r="G7" s="7">
        <f>ROUND(F7*年間損益!$B$38/50000,0)*50000</f>
        <v>1900000</v>
      </c>
      <c r="H7" s="7">
        <f>E7*年間損益!$B$34+年間損益!$B$39/12+年間損益!$C$25</f>
        <v>1776312</v>
      </c>
      <c r="I7" s="7">
        <f t="shared" ref="I7:I18" si="1">F7-H7</f>
        <v>23688</v>
      </c>
      <c r="J7" s="7">
        <f>SUM($I$7:I7)</f>
        <v>23688</v>
      </c>
      <c r="K7" s="9"/>
      <c r="L7" s="8" t="str">
        <f t="shared" ref="L7:L18" si="2">IF(K7="","",K7/F7)</f>
        <v/>
      </c>
      <c r="M7" s="7" t="str">
        <f>IF(K7="","",IF(K7&gt;=G7,年間損益!$D$25,IF(K7&gt;=F7,年間損益!$C$25,0)))</f>
        <v/>
      </c>
    </row>
    <row r="8" spans="1:13" ht="15">
      <c r="A8" s="6" t="s">
        <v>23</v>
      </c>
      <c r="B8" s="7">
        <v>3638478</v>
      </c>
      <c r="C8" s="7">
        <v>4500000</v>
      </c>
      <c r="D8" s="8">
        <f t="shared" si="0"/>
        <v>7.4999999999999997E-2</v>
      </c>
      <c r="E8" s="9">
        <v>5300000</v>
      </c>
      <c r="F8" s="9">
        <v>1800000</v>
      </c>
      <c r="G8" s="7">
        <f>ROUND(F8*年間損益!$B$38/50000,0)*50000</f>
        <v>1900000</v>
      </c>
      <c r="H8" s="7">
        <f>E8*年間損益!$B$34+年間損益!$B$39/12+年間損益!$C$25</f>
        <v>1776312</v>
      </c>
      <c r="I8" s="7">
        <f t="shared" si="1"/>
        <v>23688</v>
      </c>
      <c r="J8" s="7">
        <f>SUM($I$7:I8)</f>
        <v>47376</v>
      </c>
      <c r="K8" s="9"/>
      <c r="L8" s="8" t="str">
        <f t="shared" si="2"/>
        <v/>
      </c>
      <c r="M8" s="7" t="str">
        <f>IF(K8="","",IF(K8&gt;=G8,年間損益!$D$25,IF(K8&gt;=F8,年間損益!$C$25,0)))</f>
        <v/>
      </c>
    </row>
    <row r="9" spans="1:13" ht="15">
      <c r="A9" s="6" t="s">
        <v>24</v>
      </c>
      <c r="B9" s="7">
        <v>4934704</v>
      </c>
      <c r="C9" s="7">
        <v>5500000</v>
      </c>
      <c r="D9" s="8">
        <f t="shared" si="0"/>
        <v>9.166666666666666E-2</v>
      </c>
      <c r="E9" s="9">
        <v>5500000</v>
      </c>
      <c r="F9" s="9">
        <v>1900000</v>
      </c>
      <c r="G9" s="7">
        <f>ROUND(F9*年間損益!$B$38/50000,0)*50000</f>
        <v>2000000</v>
      </c>
      <c r="H9" s="7">
        <f>E9*年間損益!$B$34+年間損益!$B$39/12+年間損益!$C$25</f>
        <v>1790152</v>
      </c>
      <c r="I9" s="7">
        <f t="shared" si="1"/>
        <v>109848</v>
      </c>
      <c r="J9" s="7">
        <f>SUM($I$7:I9)</f>
        <v>157224</v>
      </c>
      <c r="K9" s="9"/>
      <c r="L9" s="8" t="str">
        <f t="shared" si="2"/>
        <v/>
      </c>
      <c r="M9" s="7" t="str">
        <f>IF(K9="","",IF(K9&gt;=G9,年間損益!$D$25,IF(K9&gt;=F9,年間損益!$C$25,0)))</f>
        <v/>
      </c>
    </row>
    <row r="10" spans="1:13" ht="15">
      <c r="A10" s="6" t="s">
        <v>25</v>
      </c>
      <c r="B10" s="7">
        <v>5149749</v>
      </c>
      <c r="C10" s="7">
        <v>5500000</v>
      </c>
      <c r="D10" s="8">
        <f t="shared" si="0"/>
        <v>9.166666666666666E-2</v>
      </c>
      <c r="E10" s="9">
        <v>5500000</v>
      </c>
      <c r="F10" s="9">
        <v>1900000</v>
      </c>
      <c r="G10" s="7">
        <f>ROUND(F10*年間損益!$B$38/50000,0)*50000</f>
        <v>2000000</v>
      </c>
      <c r="H10" s="7">
        <f>E10*年間損益!$B$34+年間損益!$B$39/12+年間損益!$C$25</f>
        <v>1790152</v>
      </c>
      <c r="I10" s="7">
        <f t="shared" si="1"/>
        <v>109848</v>
      </c>
      <c r="J10" s="7">
        <f>SUM($I$7:I10)</f>
        <v>267072</v>
      </c>
      <c r="K10" s="9"/>
      <c r="L10" s="8" t="str">
        <f t="shared" si="2"/>
        <v/>
      </c>
      <c r="M10" s="7" t="str">
        <f>IF(K10="","",IF(K10&gt;=G10,年間損益!$D$25,IF(K10&gt;=F10,年間損益!$C$25,0)))</f>
        <v/>
      </c>
    </row>
    <row r="11" spans="1:13" ht="15">
      <c r="A11" s="6" t="s">
        <v>26</v>
      </c>
      <c r="B11" s="7">
        <v>6820952</v>
      </c>
      <c r="C11" s="7">
        <v>7000000</v>
      </c>
      <c r="D11" s="8">
        <f t="shared" si="0"/>
        <v>0.11666666666666667</v>
      </c>
      <c r="E11" s="9">
        <v>7000000</v>
      </c>
      <c r="F11" s="9">
        <v>2400000</v>
      </c>
      <c r="G11" s="7">
        <f>ROUND(F11*年間損益!$B$38/50000,0)*50000</f>
        <v>2500000</v>
      </c>
      <c r="H11" s="7">
        <f>E11*年間損益!$B$34+年間損益!$B$39/12+年間損益!$C$25</f>
        <v>1893952</v>
      </c>
      <c r="I11" s="7">
        <f t="shared" si="1"/>
        <v>506048</v>
      </c>
      <c r="J11" s="7">
        <f>SUM($I$7:I11)</f>
        <v>773120</v>
      </c>
      <c r="K11" s="9"/>
      <c r="L11" s="8" t="str">
        <f t="shared" si="2"/>
        <v/>
      </c>
      <c r="M11" s="7" t="str">
        <f>IF(K11="","",IF(K11&gt;=G11,年間損益!$D$25,IF(K11&gt;=F11,年間損益!$C$25,0)))</f>
        <v/>
      </c>
    </row>
    <row r="12" spans="1:13" ht="15">
      <c r="A12" s="6" t="s">
        <v>27</v>
      </c>
      <c r="B12" s="7">
        <v>4850701</v>
      </c>
      <c r="C12" s="7">
        <v>6000000</v>
      </c>
      <c r="D12" s="8">
        <f t="shared" si="0"/>
        <v>0.1</v>
      </c>
      <c r="E12" s="9">
        <v>6000000</v>
      </c>
      <c r="F12" s="9">
        <v>2050000</v>
      </c>
      <c r="G12" s="7">
        <f>ROUND(F12*年間損益!$B$38/50000,0)*50000</f>
        <v>2150000</v>
      </c>
      <c r="H12" s="7">
        <f>E12*年間損益!$B$34+年間損益!$B$39/12+年間損益!$C$25</f>
        <v>1824752</v>
      </c>
      <c r="I12" s="7">
        <f t="shared" si="1"/>
        <v>225248</v>
      </c>
      <c r="J12" s="7">
        <f>SUM($I$7:I12)</f>
        <v>998368</v>
      </c>
      <c r="K12" s="9"/>
      <c r="L12" s="8" t="str">
        <f t="shared" si="2"/>
        <v/>
      </c>
      <c r="M12" s="7" t="str">
        <f>IF(K12="","",IF(K12&gt;=G12,年間損益!$D$25,IF(K12&gt;=F12,年間損益!$C$25,0)))</f>
        <v/>
      </c>
    </row>
    <row r="13" spans="1:13" ht="15">
      <c r="A13" s="6" t="s">
        <v>28</v>
      </c>
      <c r="B13" s="7">
        <v>2795656</v>
      </c>
      <c r="C13" s="7">
        <v>3500000</v>
      </c>
      <c r="D13" s="8">
        <f t="shared" si="0"/>
        <v>5.8333333333333334E-2</v>
      </c>
      <c r="E13" s="9">
        <v>5300000</v>
      </c>
      <c r="F13" s="9">
        <v>1800000</v>
      </c>
      <c r="G13" s="7">
        <f>ROUND(F13*年間損益!$B$38/50000,0)*50000</f>
        <v>1900000</v>
      </c>
      <c r="H13" s="7">
        <f>E13*年間損益!$B$34+年間損益!$B$39/12+年間損益!$C$25</f>
        <v>1776312</v>
      </c>
      <c r="I13" s="7">
        <f t="shared" si="1"/>
        <v>23688</v>
      </c>
      <c r="J13" s="7">
        <f>SUM($I$7:I13)</f>
        <v>1022056</v>
      </c>
      <c r="K13" s="9"/>
      <c r="L13" s="8" t="str">
        <f t="shared" si="2"/>
        <v/>
      </c>
      <c r="M13" s="7" t="str">
        <f>IF(K13="","",IF(K13&gt;=G13,年間損益!$D$25,IF(K13&gt;=F13,年間損益!$C$25,0)))</f>
        <v/>
      </c>
    </row>
    <row r="14" spans="1:13" ht="15">
      <c r="A14" s="6" t="s">
        <v>29</v>
      </c>
      <c r="B14" s="7">
        <v>4419804</v>
      </c>
      <c r="C14" s="7">
        <v>5500000</v>
      </c>
      <c r="D14" s="8">
        <f t="shared" si="0"/>
        <v>9.166666666666666E-2</v>
      </c>
      <c r="E14" s="9">
        <v>5500000</v>
      </c>
      <c r="F14" s="9">
        <v>1900000</v>
      </c>
      <c r="G14" s="7">
        <f>ROUND(F14*年間損益!$B$38/50000,0)*50000</f>
        <v>2000000</v>
      </c>
      <c r="H14" s="7">
        <f>E14*年間損益!$B$34+年間損益!$B$39/12+年間損益!$C$25</f>
        <v>1790152</v>
      </c>
      <c r="I14" s="7">
        <f t="shared" si="1"/>
        <v>109848</v>
      </c>
      <c r="J14" s="7">
        <f>SUM($I$7:I14)</f>
        <v>1131904</v>
      </c>
      <c r="K14" s="9"/>
      <c r="L14" s="8" t="str">
        <f t="shared" si="2"/>
        <v/>
      </c>
      <c r="M14" s="7" t="str">
        <f>IF(K14="","",IF(K14&gt;=G14,年間損益!$D$25,IF(K14&gt;=F14,年間損益!$C$25,0)))</f>
        <v/>
      </c>
    </row>
    <row r="15" spans="1:13" ht="15">
      <c r="A15" s="6" t="s">
        <v>30</v>
      </c>
      <c r="B15" s="7">
        <v>3581469</v>
      </c>
      <c r="C15" s="7">
        <v>4500000</v>
      </c>
      <c r="D15" s="8">
        <f t="shared" si="0"/>
        <v>7.4999999999999997E-2</v>
      </c>
      <c r="E15" s="9">
        <v>5300000</v>
      </c>
      <c r="F15" s="9">
        <v>1800000</v>
      </c>
      <c r="G15" s="7">
        <f>ROUND(F15*年間損益!$B$38/50000,0)*50000</f>
        <v>1900000</v>
      </c>
      <c r="H15" s="7">
        <f>E15*年間損益!$B$34+年間損益!$B$39/12+年間損益!$C$25</f>
        <v>1776312</v>
      </c>
      <c r="I15" s="7">
        <f t="shared" si="1"/>
        <v>23688</v>
      </c>
      <c r="J15" s="7">
        <f>SUM($I$7:I15)</f>
        <v>1155592</v>
      </c>
      <c r="K15" s="9"/>
      <c r="L15" s="8" t="str">
        <f t="shared" si="2"/>
        <v/>
      </c>
      <c r="M15" s="7" t="str">
        <f>IF(K15="","",IF(K15&gt;=G15,年間損益!$D$25,IF(K15&gt;=F15,年間損益!$C$25,0)))</f>
        <v/>
      </c>
    </row>
    <row r="16" spans="1:13" ht="15">
      <c r="A16" s="6" t="s">
        <v>31</v>
      </c>
      <c r="B16" s="7">
        <v>4799124</v>
      </c>
      <c r="C16" s="7">
        <v>4500000</v>
      </c>
      <c r="D16" s="8">
        <f t="shared" si="0"/>
        <v>7.4999999999999997E-2</v>
      </c>
      <c r="E16" s="9">
        <v>5300000</v>
      </c>
      <c r="F16" s="9">
        <v>1800000</v>
      </c>
      <c r="G16" s="7">
        <f>ROUND(F16*年間損益!$B$38/50000,0)*50000</f>
        <v>1900000</v>
      </c>
      <c r="H16" s="7">
        <f>E16*年間損益!$B$34+年間損益!$B$39/12+年間損益!$C$25</f>
        <v>1776312</v>
      </c>
      <c r="I16" s="7">
        <f t="shared" si="1"/>
        <v>23688</v>
      </c>
      <c r="J16" s="7">
        <f>SUM($I$7:I16)</f>
        <v>1179280</v>
      </c>
      <c r="K16" s="9"/>
      <c r="L16" s="8" t="str">
        <f t="shared" si="2"/>
        <v/>
      </c>
      <c r="M16" s="7" t="str">
        <f>IF(K16="","",IF(K16&gt;=G16,年間損益!$D$25,IF(K16&gt;=F16,年間損益!$C$25,0)))</f>
        <v/>
      </c>
    </row>
    <row r="17" spans="1:13" ht="15">
      <c r="A17" s="6" t="s">
        <v>32</v>
      </c>
      <c r="B17" s="7">
        <v>4888307</v>
      </c>
      <c r="C17" s="7">
        <v>5500000</v>
      </c>
      <c r="D17" s="8">
        <f t="shared" si="0"/>
        <v>9.166666666666666E-2</v>
      </c>
      <c r="E17" s="9">
        <v>5500000</v>
      </c>
      <c r="F17" s="9">
        <v>1900000</v>
      </c>
      <c r="G17" s="7">
        <f>ROUND(F17*年間損益!$B$38/50000,0)*50000</f>
        <v>2000000</v>
      </c>
      <c r="H17" s="7">
        <f>E17*年間損益!$B$34+年間損益!$B$39/12+年間損益!$C$25</f>
        <v>1790152</v>
      </c>
      <c r="I17" s="7">
        <f t="shared" si="1"/>
        <v>109848</v>
      </c>
      <c r="J17" s="7">
        <f>SUM($I$7:I17)</f>
        <v>1289128</v>
      </c>
      <c r="K17" s="9"/>
      <c r="L17" s="8" t="str">
        <f t="shared" si="2"/>
        <v/>
      </c>
      <c r="M17" s="7" t="str">
        <f>IF(K17="","",IF(K17&gt;=G17,年間損益!$D$25,IF(K17&gt;=F17,年間損益!$C$25,0)))</f>
        <v/>
      </c>
    </row>
    <row r="18" spans="1:13" ht="15">
      <c r="A18" s="6" t="s">
        <v>33</v>
      </c>
      <c r="B18" s="7">
        <v>4741065</v>
      </c>
      <c r="C18" s="7">
        <v>4500000</v>
      </c>
      <c r="D18" s="8">
        <f t="shared" si="0"/>
        <v>7.4999999999999997E-2</v>
      </c>
      <c r="E18" s="9">
        <v>5300000</v>
      </c>
      <c r="F18" s="9">
        <v>1800000</v>
      </c>
      <c r="G18" s="7">
        <f>ROUND(F18*年間損益!$B$38/50000,0)*50000</f>
        <v>1900000</v>
      </c>
      <c r="H18" s="7">
        <f>E18*年間損益!$B$34+年間損益!$B$39/12+年間損益!$C$25</f>
        <v>1776312</v>
      </c>
      <c r="I18" s="7">
        <f t="shared" si="1"/>
        <v>23688</v>
      </c>
      <c r="J18" s="7">
        <f>SUM($I$7:I18)</f>
        <v>1312816</v>
      </c>
      <c r="K18" s="9"/>
      <c r="L18" s="8" t="str">
        <f t="shared" si="2"/>
        <v/>
      </c>
      <c r="M18" s="7" t="str">
        <f>IF(K18="","",IF(K18&gt;=G18,年間損益!$D$25,IF(K18&gt;=F18,年間損益!$C$25,0)))</f>
        <v/>
      </c>
    </row>
    <row r="19" spans="1:13" ht="15">
      <c r="A19" s="10" t="s">
        <v>34</v>
      </c>
      <c r="B19" s="11">
        <f t="shared" ref="B19:I19" si="3">SUM(B7:B18)</f>
        <v>53660301</v>
      </c>
      <c r="C19" s="11">
        <f t="shared" si="3"/>
        <v>60000000</v>
      </c>
      <c r="D19" s="12">
        <f t="shared" si="3"/>
        <v>0.99999999999999989</v>
      </c>
      <c r="E19" s="11">
        <f t="shared" si="3"/>
        <v>66800000</v>
      </c>
      <c r="F19" s="11">
        <f t="shared" si="3"/>
        <v>22850000</v>
      </c>
      <c r="G19" s="11">
        <f t="shared" si="3"/>
        <v>24050000</v>
      </c>
      <c r="H19" s="11">
        <f t="shared" si="3"/>
        <v>21537184</v>
      </c>
      <c r="I19" s="11">
        <f t="shared" si="3"/>
        <v>1312816</v>
      </c>
      <c r="J19" s="13"/>
      <c r="K19" s="11">
        <f>SUM(K7:K18)</f>
        <v>0</v>
      </c>
      <c r="L19" s="12" t="str">
        <f>IF(COUNT(K7:K18)=0,"",K19/SUMIF(K7:K18,"&lt;&gt;",F7:F18))</f>
        <v/>
      </c>
      <c r="M19" s="11">
        <f>SUM(M7:M18)</f>
        <v>0</v>
      </c>
    </row>
    <row r="20" spans="1:13" ht="15">
      <c r="A20" s="6" t="s">
        <v>35</v>
      </c>
      <c r="E20" s="7">
        <f>E19-年間損益!B30</f>
        <v>3800000</v>
      </c>
      <c r="F20" s="7">
        <f>F19-年間損益!B31</f>
        <v>1350000</v>
      </c>
    </row>
    <row r="22" spans="1:13" ht="15">
      <c r="A22" s="2" t="s">
        <v>36</v>
      </c>
    </row>
    <row r="23" spans="1:13" ht="15">
      <c r="A23" s="2" t="s">
        <v>37</v>
      </c>
    </row>
    <row r="24" spans="1:13" ht="15">
      <c r="A24" s="2" t="s">
        <v>38</v>
      </c>
    </row>
    <row r="25" spans="1:13" ht="15">
      <c r="A25" s="2" t="s">
        <v>39</v>
      </c>
    </row>
    <row r="26" spans="1:13" ht="15">
      <c r="A26" s="2" t="s">
        <v>40</v>
      </c>
    </row>
  </sheetData>
  <phoneticPr fontId="7"/>
  <pageMargins left="0.75" right="0.75" top="1" bottom="1" header="0.5" footer="0.5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E50"/>
  <sheetViews>
    <sheetView showGridLines="0" workbookViewId="0"/>
  </sheetViews>
  <sheetFormatPr defaultRowHeight="13.2"/>
  <cols>
    <col min="1" max="1" width="32" customWidth="1"/>
    <col min="2" max="4" width="18" customWidth="1"/>
    <col min="5" max="5" width="72" customWidth="1"/>
  </cols>
  <sheetData>
    <row r="1" spans="1:5" ht="18.600000000000001">
      <c r="A1" s="1" t="s">
        <v>41</v>
      </c>
    </row>
    <row r="2" spans="1:5" ht="15">
      <c r="A2" s="2" t="s">
        <v>42</v>
      </c>
    </row>
    <row r="4" spans="1:5" ht="15">
      <c r="A4" s="14" t="s">
        <v>43</v>
      </c>
    </row>
    <row r="5" spans="1:5" ht="49.95" customHeight="1">
      <c r="A5" s="5" t="s">
        <v>44</v>
      </c>
      <c r="B5" s="5" t="s">
        <v>45</v>
      </c>
      <c r="C5" s="5" t="s">
        <v>46</v>
      </c>
      <c r="D5" s="5" t="s">
        <v>47</v>
      </c>
      <c r="E5" s="5" t="s">
        <v>48</v>
      </c>
    </row>
    <row r="6" spans="1:5" ht="15">
      <c r="A6" s="15" t="s">
        <v>49</v>
      </c>
      <c r="B6" s="7">
        <v>53660301</v>
      </c>
      <c r="C6" s="7">
        <f>$B$30</f>
        <v>63000000</v>
      </c>
      <c r="D6" s="7">
        <f>月別目標!$E$19</f>
        <v>66800000</v>
      </c>
      <c r="E6" s="16" t="s">
        <v>50</v>
      </c>
    </row>
    <row r="7" spans="1:5" ht="30">
      <c r="A7" s="17" t="s">
        <v>51</v>
      </c>
      <c r="B7" s="11">
        <v>16612146</v>
      </c>
      <c r="C7" s="11">
        <f>$B$31</f>
        <v>21500000</v>
      </c>
      <c r="D7" s="11">
        <f>月別目標!$F$19</f>
        <v>22850000</v>
      </c>
      <c r="E7" s="18" t="s">
        <v>52</v>
      </c>
    </row>
    <row r="8" spans="1:5" ht="15">
      <c r="A8" s="15" t="s">
        <v>53</v>
      </c>
      <c r="B8" s="8">
        <f>B7/B6</f>
        <v>0.30957981394849055</v>
      </c>
      <c r="C8" s="8">
        <f>C7/C6</f>
        <v>0.34126984126984128</v>
      </c>
      <c r="D8" s="8">
        <f>D7/D6</f>
        <v>0.34206586826347307</v>
      </c>
      <c r="E8" s="16"/>
    </row>
    <row r="9" spans="1:5" ht="15">
      <c r="A9" s="15" t="s">
        <v>54</v>
      </c>
      <c r="B9" s="7">
        <v>8091567</v>
      </c>
      <c r="C9" s="7">
        <f>$B$32*12</f>
        <v>9600000</v>
      </c>
      <c r="D9" s="7">
        <f>$B$32*12</f>
        <v>9600000</v>
      </c>
      <c r="E9" s="16" t="s">
        <v>55</v>
      </c>
    </row>
    <row r="10" spans="1:5" ht="30">
      <c r="A10" s="15" t="s">
        <v>56</v>
      </c>
      <c r="B10" s="7">
        <v>0</v>
      </c>
      <c r="C10" s="7">
        <f>$C$25*12</f>
        <v>360000</v>
      </c>
      <c r="D10" s="7">
        <f>$C$25*12</f>
        <v>360000</v>
      </c>
      <c r="E10" s="16" t="s">
        <v>57</v>
      </c>
    </row>
    <row r="11" spans="1:5" ht="15">
      <c r="A11" s="15" t="s">
        <v>58</v>
      </c>
      <c r="B11" s="7">
        <v>6230261</v>
      </c>
      <c r="C11" s="7">
        <f>$B$33*12+C6*$B$34</f>
        <v>6877104</v>
      </c>
      <c r="D11" s="7">
        <f>$B$33*12+D6*$B$34</f>
        <v>7140064</v>
      </c>
      <c r="E11" s="16" t="s">
        <v>59</v>
      </c>
    </row>
    <row r="12" spans="1:5" ht="15">
      <c r="A12" s="15" t="s">
        <v>60</v>
      </c>
      <c r="B12" s="7">
        <v>3493268</v>
      </c>
      <c r="C12" s="7">
        <f>$B$35</f>
        <v>3493268</v>
      </c>
      <c r="D12" s="7">
        <f>$B$35</f>
        <v>3493268</v>
      </c>
      <c r="E12" s="16" t="s">
        <v>61</v>
      </c>
    </row>
    <row r="13" spans="1:5" ht="15">
      <c r="A13" s="15" t="s">
        <v>62</v>
      </c>
      <c r="B13" s="7">
        <v>943852</v>
      </c>
      <c r="C13" s="7">
        <f>$B$36</f>
        <v>943852</v>
      </c>
      <c r="D13" s="7">
        <f>$B$36</f>
        <v>943852</v>
      </c>
      <c r="E13" s="16" t="s">
        <v>63</v>
      </c>
    </row>
    <row r="14" spans="1:5" ht="15">
      <c r="A14" s="15" t="s">
        <v>64</v>
      </c>
      <c r="B14" s="7">
        <f>SUM(B9:B13)</f>
        <v>18758948</v>
      </c>
      <c r="C14" s="7">
        <f>SUM(C9:C13)</f>
        <v>21274224</v>
      </c>
      <c r="D14" s="7">
        <f>SUM(D9:D13)</f>
        <v>21537184</v>
      </c>
      <c r="E14" s="16"/>
    </row>
    <row r="15" spans="1:5" ht="15">
      <c r="A15" s="17" t="s">
        <v>65</v>
      </c>
      <c r="B15" s="11">
        <f>B7-B14</f>
        <v>-2146802</v>
      </c>
      <c r="C15" s="11">
        <f>C7-C14</f>
        <v>225776</v>
      </c>
      <c r="D15" s="11">
        <f>D7-D14</f>
        <v>1312816</v>
      </c>
      <c r="E15" s="18"/>
    </row>
    <row r="16" spans="1:5" ht="30">
      <c r="A16" s="15" t="s">
        <v>66</v>
      </c>
      <c r="B16" s="7">
        <v>-153129</v>
      </c>
      <c r="C16" s="7">
        <f>-$B$37</f>
        <v>-300000</v>
      </c>
      <c r="D16" s="7">
        <f>-$B$37</f>
        <v>-300000</v>
      </c>
      <c r="E16" s="16" t="s">
        <v>67</v>
      </c>
    </row>
    <row r="17" spans="1:5" ht="15">
      <c r="A17" s="17" t="s">
        <v>68</v>
      </c>
      <c r="B17" s="11">
        <f>B15+B16</f>
        <v>-2299931</v>
      </c>
      <c r="C17" s="11">
        <f>C15+C16</f>
        <v>-74224</v>
      </c>
      <c r="D17" s="11">
        <f>D15+D16</f>
        <v>1012816</v>
      </c>
      <c r="E17" s="18"/>
    </row>
    <row r="18" spans="1:5" ht="15">
      <c r="A18" s="15" t="s">
        <v>69</v>
      </c>
      <c r="B18" s="7"/>
      <c r="C18" s="7">
        <f>$B$39/($B$31/$B$30-$B$34)</f>
        <v>60846964.598259076</v>
      </c>
      <c r="D18" s="7">
        <f>$B$39/($B$31/$B$30-$B$34)</f>
        <v>60846964.598259076</v>
      </c>
      <c r="E18" s="16" t="s">
        <v>70</v>
      </c>
    </row>
    <row r="20" spans="1:5" ht="15">
      <c r="A20" s="14" t="s">
        <v>71</v>
      </c>
    </row>
    <row r="21" spans="1:5" ht="49.95" customHeight="1">
      <c r="A21" s="5" t="s">
        <v>72</v>
      </c>
      <c r="B21" s="5" t="s">
        <v>73</v>
      </c>
      <c r="C21" s="5" t="s">
        <v>74</v>
      </c>
      <c r="D21" s="5" t="s">
        <v>75</v>
      </c>
    </row>
    <row r="22" spans="1:5" ht="15">
      <c r="A22" s="15" t="s">
        <v>76</v>
      </c>
      <c r="B22" s="19">
        <v>1</v>
      </c>
      <c r="C22" s="9">
        <v>12000</v>
      </c>
      <c r="D22" s="9">
        <v>20000</v>
      </c>
    </row>
    <row r="23" spans="1:5" ht="15">
      <c r="A23" s="15" t="s">
        <v>77</v>
      </c>
      <c r="B23" s="19">
        <v>1</v>
      </c>
      <c r="C23" s="9">
        <v>8000</v>
      </c>
      <c r="D23" s="9">
        <v>14000</v>
      </c>
    </row>
    <row r="24" spans="1:5" ht="15">
      <c r="A24" s="15" t="s">
        <v>78</v>
      </c>
      <c r="B24" s="19">
        <v>2</v>
      </c>
      <c r="C24" s="9">
        <v>5000</v>
      </c>
      <c r="D24" s="9">
        <v>8000</v>
      </c>
    </row>
    <row r="25" spans="1:5" ht="15">
      <c r="A25" s="17" t="s">
        <v>79</v>
      </c>
      <c r="B25" s="20">
        <f>SUM(B22:B24)</f>
        <v>4</v>
      </c>
      <c r="C25" s="11">
        <f>SUMPRODUCT($B$22:$B$24,C22:C24)</f>
        <v>30000</v>
      </c>
      <c r="D25" s="11">
        <f>SUMPRODUCT($B$22:$B$24,D22:D24)</f>
        <v>50000</v>
      </c>
    </row>
    <row r="26" spans="1:5" ht="15">
      <c r="A26" s="15" t="s">
        <v>80</v>
      </c>
      <c r="B26" s="15"/>
      <c r="C26" s="7">
        <f>C25*12</f>
        <v>360000</v>
      </c>
      <c r="D26" s="7">
        <f>D25*12</f>
        <v>600000</v>
      </c>
    </row>
    <row r="28" spans="1:5" ht="15">
      <c r="A28" s="14" t="s">
        <v>81</v>
      </c>
    </row>
    <row r="29" spans="1:5" ht="15">
      <c r="A29" s="5" t="s">
        <v>82</v>
      </c>
      <c r="B29" s="5" t="s">
        <v>83</v>
      </c>
      <c r="C29" s="27" t="s">
        <v>84</v>
      </c>
      <c r="D29" s="24"/>
      <c r="E29" s="25"/>
    </row>
    <row r="30" spans="1:5" ht="15">
      <c r="A30" s="15" t="s">
        <v>85</v>
      </c>
      <c r="B30" s="9">
        <v>63000000</v>
      </c>
      <c r="C30" s="23" t="s">
        <v>86</v>
      </c>
      <c r="D30" s="24"/>
      <c r="E30" s="25"/>
    </row>
    <row r="31" spans="1:5" ht="15">
      <c r="A31" s="15" t="s">
        <v>87</v>
      </c>
      <c r="B31" s="9">
        <v>21500000</v>
      </c>
      <c r="C31" s="23" t="s">
        <v>88</v>
      </c>
      <c r="D31" s="24"/>
      <c r="E31" s="25"/>
    </row>
    <row r="32" spans="1:5" ht="15">
      <c r="A32" s="15" t="s">
        <v>89</v>
      </c>
      <c r="B32" s="9">
        <v>800000</v>
      </c>
      <c r="C32" s="23" t="s">
        <v>90</v>
      </c>
      <c r="D32" s="24"/>
      <c r="E32" s="25"/>
    </row>
    <row r="33" spans="1:5" ht="15">
      <c r="A33" s="15" t="s">
        <v>91</v>
      </c>
      <c r="B33" s="9">
        <v>209792</v>
      </c>
      <c r="C33" s="23" t="s">
        <v>92</v>
      </c>
      <c r="D33" s="24"/>
      <c r="E33" s="25"/>
    </row>
    <row r="34" spans="1:5" ht="15">
      <c r="A34" s="15" t="s">
        <v>93</v>
      </c>
      <c r="B34" s="21">
        <v>6.9199999999999998E-2</v>
      </c>
      <c r="C34" s="23" t="s">
        <v>94</v>
      </c>
      <c r="D34" s="24"/>
      <c r="E34" s="25"/>
    </row>
    <row r="35" spans="1:5" ht="15">
      <c r="A35" s="15" t="s">
        <v>95</v>
      </c>
      <c r="B35" s="9">
        <v>3493268</v>
      </c>
      <c r="C35" s="23" t="s">
        <v>96</v>
      </c>
      <c r="D35" s="24"/>
      <c r="E35" s="25"/>
    </row>
    <row r="36" spans="1:5" ht="15">
      <c r="A36" s="15" t="s">
        <v>97</v>
      </c>
      <c r="B36" s="9">
        <v>943852</v>
      </c>
      <c r="C36" s="23" t="s">
        <v>98</v>
      </c>
      <c r="D36" s="24"/>
      <c r="E36" s="25"/>
    </row>
    <row r="37" spans="1:5" ht="15">
      <c r="A37" s="15" t="s">
        <v>99</v>
      </c>
      <c r="B37" s="9">
        <v>300000</v>
      </c>
      <c r="C37" s="23" t="s">
        <v>100</v>
      </c>
      <c r="D37" s="24"/>
      <c r="E37" s="25"/>
    </row>
    <row r="38" spans="1:5" ht="15">
      <c r="A38" s="15" t="s">
        <v>101</v>
      </c>
      <c r="B38" s="22">
        <v>1.05</v>
      </c>
      <c r="C38" s="23" t="s">
        <v>102</v>
      </c>
      <c r="D38" s="24"/>
      <c r="E38" s="25"/>
    </row>
    <row r="39" spans="1:5" ht="15">
      <c r="A39" s="15" t="s">
        <v>103</v>
      </c>
      <c r="B39" s="7">
        <f>B32*12+B33*12+B35+B36</f>
        <v>16554624</v>
      </c>
      <c r="C39" s="23" t="s">
        <v>104</v>
      </c>
      <c r="D39" s="24"/>
      <c r="E39" s="25"/>
    </row>
    <row r="41" spans="1:5" ht="15">
      <c r="A41" s="14" t="s">
        <v>105</v>
      </c>
    </row>
    <row r="42" spans="1:5" ht="15">
      <c r="A42" s="5" t="s">
        <v>82</v>
      </c>
      <c r="B42" s="5" t="s">
        <v>106</v>
      </c>
      <c r="C42" s="5" t="s">
        <v>107</v>
      </c>
      <c r="D42" s="27" t="s">
        <v>108</v>
      </c>
      <c r="E42" s="25"/>
    </row>
    <row r="43" spans="1:5" ht="15">
      <c r="A43" s="15" t="s">
        <v>54</v>
      </c>
      <c r="B43" s="7">
        <f>$B$32</f>
        <v>800000</v>
      </c>
      <c r="C43" s="7">
        <f t="shared" ref="C43:C48" si="0">B43*12</f>
        <v>9600000</v>
      </c>
      <c r="D43" s="23" t="s">
        <v>109</v>
      </c>
      <c r="E43" s="25"/>
    </row>
    <row r="44" spans="1:5" ht="15">
      <c r="A44" s="15" t="s">
        <v>56</v>
      </c>
      <c r="B44" s="7">
        <f>$C$25</f>
        <v>30000</v>
      </c>
      <c r="C44" s="7">
        <f t="shared" si="0"/>
        <v>360000</v>
      </c>
      <c r="D44" s="23" t="s">
        <v>110</v>
      </c>
      <c r="E44" s="25"/>
    </row>
    <row r="45" spans="1:5" ht="15">
      <c r="A45" s="15" t="s">
        <v>111</v>
      </c>
      <c r="B45" s="7">
        <f>$B$33</f>
        <v>209792</v>
      </c>
      <c r="C45" s="7">
        <f t="shared" si="0"/>
        <v>2517504</v>
      </c>
      <c r="D45" s="23" t="s">
        <v>112</v>
      </c>
      <c r="E45" s="25"/>
    </row>
    <row r="46" spans="1:5" ht="15">
      <c r="A46" s="15" t="s">
        <v>113</v>
      </c>
      <c r="B46" s="7">
        <f>月別目標!$E$19*$B$34/12</f>
        <v>385213.33333333331</v>
      </c>
      <c r="C46" s="7">
        <f t="shared" si="0"/>
        <v>4622560</v>
      </c>
      <c r="D46" s="23" t="s">
        <v>114</v>
      </c>
      <c r="E46" s="25"/>
    </row>
    <row r="47" spans="1:5" ht="15">
      <c r="A47" s="15" t="s">
        <v>60</v>
      </c>
      <c r="B47" s="7">
        <f>$B$35/12</f>
        <v>291105.66666666669</v>
      </c>
      <c r="C47" s="7">
        <f t="shared" si="0"/>
        <v>3493268</v>
      </c>
      <c r="D47" s="23" t="s">
        <v>115</v>
      </c>
      <c r="E47" s="25"/>
    </row>
    <row r="48" spans="1:5" ht="15">
      <c r="A48" s="15" t="s">
        <v>62</v>
      </c>
      <c r="B48" s="7">
        <f>$B$36/12</f>
        <v>78654.333333333328</v>
      </c>
      <c r="C48" s="7">
        <f t="shared" si="0"/>
        <v>943852</v>
      </c>
      <c r="D48" s="23" t="s">
        <v>116</v>
      </c>
      <c r="E48" s="25"/>
    </row>
    <row r="49" spans="1:5" ht="15">
      <c r="A49" s="17" t="s">
        <v>64</v>
      </c>
      <c r="B49" s="11">
        <f>SUM(B43:B48)</f>
        <v>1794765.3333333333</v>
      </c>
      <c r="C49" s="11">
        <f>SUM(C43:C48)</f>
        <v>21537184</v>
      </c>
      <c r="D49" s="26" t="s">
        <v>117</v>
      </c>
      <c r="E49" s="25"/>
    </row>
    <row r="50" spans="1:5" ht="15">
      <c r="A50" s="15" t="s">
        <v>118</v>
      </c>
      <c r="B50" s="7">
        <f>B14/12</f>
        <v>1563245.6666666667</v>
      </c>
      <c r="C50" s="7">
        <f>B14</f>
        <v>18758948</v>
      </c>
      <c r="D50" s="23" t="s">
        <v>119</v>
      </c>
      <c r="E50" s="25"/>
    </row>
  </sheetData>
  <mergeCells count="20">
    <mergeCell ref="C29:E29"/>
    <mergeCell ref="D50:E50"/>
    <mergeCell ref="D44:E44"/>
    <mergeCell ref="C30:E30"/>
    <mergeCell ref="C34:E34"/>
    <mergeCell ref="C33:E33"/>
    <mergeCell ref="D42:E42"/>
    <mergeCell ref="C35:E35"/>
    <mergeCell ref="C31:E31"/>
    <mergeCell ref="D46:E46"/>
    <mergeCell ref="D45:E45"/>
    <mergeCell ref="C36:E36"/>
    <mergeCell ref="D49:E49"/>
    <mergeCell ref="C39:E39"/>
    <mergeCell ref="D48:E48"/>
    <mergeCell ref="C32:E32"/>
    <mergeCell ref="C38:E38"/>
    <mergeCell ref="D47:E47"/>
    <mergeCell ref="C37:E37"/>
    <mergeCell ref="D43:E43"/>
  </mergeCells>
  <phoneticPr fontId="7"/>
  <pageMargins left="0.75" right="0.75" top="1" bottom="1" header="0.5" footer="0.5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月別目標</vt:lpstr>
      <vt:lpstr>年間損益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家高05</cp:lastModifiedBy>
  <dcterms:created xsi:type="dcterms:W3CDTF">2026-10-07T00:31:49Z</dcterms:created>
  <dcterms:modified xsi:type="dcterms:W3CDTF">2026-10-07T00:31:52Z</dcterms:modified>
</cp:coreProperties>
</file>