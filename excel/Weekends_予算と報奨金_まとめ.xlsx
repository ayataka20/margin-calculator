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粗利目標（100%・105%）" sheetId="1" state="visible" r:id="rId1"/>
    <sheet name="前提" sheetId="2" state="visible" r:id="rId2"/>
    <sheet name="固変分解" sheetId="3" state="visible" r:id="rId3"/>
    <sheet name="損益分岐" sheetId="4" state="visible" r:id="rId4"/>
    <sheet name="予算比シミュレーション" sheetId="5" state="visible" r:id="rId5"/>
    <sheet name="月別目標と判定" sheetId="6" state="visible" r:id="rId6"/>
    <sheet name="論点メモ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;(0.0%);-"/>
  </numFmts>
  <fonts count="8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</font>
    <font>
      <name val="Meiryo UI"/>
      <b val="1"/>
      <color rgb="00FFFFFF"/>
    </font>
    <font>
      <name val="Meiryo UI"/>
      <color rgb="000000FF"/>
    </font>
    <font>
      <name val="Meiryo UI"/>
      <b val="1"/>
    </font>
    <font>
      <name val="Meiryo UI"/>
      <color rgb="00008000"/>
    </font>
    <font>
      <name val="Meiryo UI"/>
      <color theme="1"/>
      <sz val="11"/>
    </font>
  </fonts>
  <fills count="5">
    <fill>
      <patternFill/>
    </fill>
    <fill>
      <patternFill patternType="gray125"/>
    </fill>
    <fill>
      <patternFill patternType="solid">
        <fgColor rgb="00073F5F"/>
      </patternFill>
    </fill>
    <fill>
      <patternFill patternType="solid">
        <fgColor rgb="00FFFF00"/>
      </patternFill>
    </fill>
    <fill>
      <patternFill patternType="solid">
        <fgColor rgb="00E3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4" fillId="3" borderId="0" pivotButton="0" quotePrefix="0" xfId="0"/>
    <xf numFmtId="165" fontId="4" fillId="3" borderId="0" pivotButton="0" quotePrefix="0" xfId="0"/>
    <xf numFmtId="165" fontId="4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5" fontId="2" fillId="0" borderId="0" pivotButton="0" quotePrefix="0" xfId="0"/>
    <xf numFmtId="3" fontId="4" fillId="3" borderId="0" pivotButton="0" quotePrefix="0" xfId="0"/>
    <xf numFmtId="164" fontId="5" fillId="0" borderId="0" pivotButton="0" quotePrefix="0" xfId="0"/>
    <xf numFmtId="164" fontId="6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164" fontId="6" fillId="4" borderId="0" pivotButton="0" quotePrefix="0" xfId="0"/>
    <xf numFmtId="164" fontId="2" fillId="4" borderId="0" pivotButton="0" quotePrefix="0" xfId="0"/>
    <xf numFmtId="165" fontId="2" fillId="4" borderId="0" pivotButton="0" quotePrefix="0" xfId="0"/>
    <xf numFmtId="1" fontId="2" fillId="0" borderId="0" pivotButton="0" quotePrefix="0" xfId="0"/>
    <xf numFmtId="0" fontId="2" fillId="0" borderId="0" applyAlignment="1" pivotButton="0" quotePrefix="0" xfId="0">
      <alignment vertical="top" wrapText="1"/>
    </xf>
    <xf numFmtId="1" fontId="4" fillId="3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3" customWidth="1" min="9" max="9"/>
    <col width="14" customWidth="1" min="10" max="10"/>
    <col width="10" customWidth="1" min="11" max="11"/>
    <col width="7" customWidth="1" min="12" max="12"/>
    <col width="14" customWidth="1" min="13" max="13"/>
  </cols>
  <sheetData>
    <row r="1">
      <c r="A1" s="1" t="inlineStr">
        <is>
          <t>Weekends 2027年度 月別の粗利目標（100%・105%）と報奨金</t>
        </is>
      </c>
    </row>
    <row r="2">
      <c r="A2" s="3" t="inlineStr">
        <is>
          <t>青字・黄色＝入力値。月の目標は「前年の売上構成比」版と「スマレジ予算の月比率」版の2つ。B10で判定に使う版を選び、黄色の「実績粗利」にスマレジ粗利（税抜）を入れると段階と報奨金が出る。</t>
        </is>
      </c>
    </row>
    <row r="4">
      <c r="A4" s="3" t="inlineStr">
        <is>
          <t>年間予算売上（税抜）</t>
        </is>
      </c>
      <c r="B4" s="5" t="n">
        <v>63000000</v>
      </c>
      <c r="C4" s="3" t="inlineStr">
        <is>
          <t>社長案（売上6,300万円・粗利2,200万円・販管費2,000万円・経常利益170万円）</t>
        </is>
      </c>
    </row>
    <row r="5">
      <c r="A5" s="3" t="inlineStr">
        <is>
          <t>年間予算粗利</t>
        </is>
      </c>
      <c r="B5" s="5" t="n">
        <v>22000000</v>
      </c>
    </row>
    <row r="6">
      <c r="A6" s="3" t="inlineStr">
        <is>
          <t>予算粗利率</t>
        </is>
      </c>
      <c r="B6" s="12">
        <f>B5/B4</f>
        <v/>
      </c>
    </row>
    <row r="7">
      <c r="A7" s="3" t="inlineStr">
        <is>
          <t>第2段階のライン</t>
        </is>
      </c>
      <c r="B7" s="6" t="n">
        <v>1.05</v>
      </c>
    </row>
    <row r="8">
      <c r="A8" s="3" t="inlineStr">
        <is>
          <t>報奨金 第1段階（店舗合計・月）</t>
        </is>
      </c>
      <c r="B8" s="5" t="n">
        <v>30000</v>
      </c>
      <c r="C8" s="3" t="inlineStr">
        <is>
          <t>粗利が月の目標（100%）以上</t>
        </is>
      </c>
    </row>
    <row r="9">
      <c r="A9" s="3" t="inlineStr">
        <is>
          <t>報奨金 第2段階（店舗合計・月）</t>
        </is>
      </c>
      <c r="B9" s="5" t="n">
        <v>51000</v>
      </c>
      <c r="C9" s="3" t="inlineStr">
        <is>
          <t>粗利が月の目標の105%以上</t>
        </is>
      </c>
    </row>
    <row r="10">
      <c r="A10" s="3" t="inlineStr">
        <is>
          <t>判定に使う目標（1=前年構成比版、2=スマレジ版）</t>
        </is>
      </c>
      <c r="B10" s="23" t="n">
        <v>1</v>
      </c>
    </row>
    <row r="11">
      <c r="A11" s="4" t="inlineStr">
        <is>
          <t>月</t>
        </is>
      </c>
      <c r="B11" s="4" t="inlineStr">
        <is>
          <t>前年売上（参考）</t>
        </is>
      </c>
      <c r="C11" s="4" t="inlineStr">
        <is>
          <t>前年構成比</t>
        </is>
      </c>
      <c r="D11" s="4" t="inlineStr">
        <is>
          <t>目標売上（参考）</t>
        </is>
      </c>
      <c r="E11" s="4" t="inlineStr">
        <is>
          <t>粗利目標100%（構成比版）</t>
        </is>
      </c>
      <c r="F11" s="4" t="inlineStr">
        <is>
          <t>粗利目標105%（構成比版）</t>
        </is>
      </c>
      <c r="G11" s="4" t="inlineStr">
        <is>
          <t>粗利目標100%（スマレジ版）</t>
        </is>
      </c>
      <c r="H11" s="4" t="inlineStr">
        <is>
          <t>粗利目標105%（スマレジ版）</t>
        </is>
      </c>
      <c r="I11" s="4" t="inlineStr">
        <is>
          <t>実績粗利</t>
        </is>
      </c>
      <c r="J11" s="4" t="inlineStr">
        <is>
          <t>判定に使う100%目標</t>
        </is>
      </c>
      <c r="K11" s="4" t="inlineStr">
        <is>
          <t>粗利 予算比</t>
        </is>
      </c>
      <c r="L11" s="4" t="inlineStr">
        <is>
          <t>段階</t>
        </is>
      </c>
      <c r="M11" s="4" t="inlineStr">
        <is>
          <t>報奨金（店舗計）</t>
        </is>
      </c>
    </row>
    <row r="12">
      <c r="A12" s="3" t="inlineStr">
        <is>
          <t>2026年8月</t>
        </is>
      </c>
      <c r="B12" s="8" t="n">
        <v>3040292</v>
      </c>
      <c r="C12" s="12">
        <f>B12/SUM($B$12:$B$23)</f>
        <v/>
      </c>
      <c r="D12" s="10">
        <f>ROUND($B$4*C12,-3)</f>
        <v/>
      </c>
      <c r="E12" s="10">
        <f>ROUND($B$5*C12,-3)</f>
        <v/>
      </c>
      <c r="F12" s="10">
        <f>ROUND(E12*$B$7,-3)</f>
        <v/>
      </c>
      <c r="G12" s="10">
        <f>ROUND($B$5*3500000/60000000,-3)</f>
        <v/>
      </c>
      <c r="H12" s="10">
        <f>ROUND(G12*$B$7,-3)</f>
        <v/>
      </c>
      <c r="I12" s="5" t="n"/>
      <c r="J12" s="10">
        <f>IF($B$10=2,G12,E12)</f>
        <v/>
      </c>
      <c r="K12" s="12">
        <f>IF(I12="","",I12/J12)</f>
        <v/>
      </c>
      <c r="L12" s="21">
        <f>IF(I12="","",IF(I12&gt;=ROUND(J12*$B$7,-3),2,IF(I12&gt;=J12,1,0)))</f>
        <v/>
      </c>
      <c r="M12" s="10">
        <f>IF(OR(L12="",L12=0),0,IF(L12=2,$B$9,$B$8))</f>
        <v/>
      </c>
    </row>
    <row r="13">
      <c r="A13" s="3" t="inlineStr">
        <is>
          <t>9月</t>
        </is>
      </c>
      <c r="B13" s="8" t="n">
        <v>3638478</v>
      </c>
      <c r="C13" s="12">
        <f>B13/SUM($B$12:$B$23)</f>
        <v/>
      </c>
      <c r="D13" s="10">
        <f>ROUND($B$4*C13,-3)</f>
        <v/>
      </c>
      <c r="E13" s="10">
        <f>ROUND($B$5*C13,-3)</f>
        <v/>
      </c>
      <c r="F13" s="10">
        <f>ROUND(E13*$B$7,-3)</f>
        <v/>
      </c>
      <c r="G13" s="10">
        <f>ROUND($B$5*4500000/60000000,-3)</f>
        <v/>
      </c>
      <c r="H13" s="10">
        <f>ROUND(G13*$B$7,-3)</f>
        <v/>
      </c>
      <c r="I13" s="5" t="n"/>
      <c r="J13" s="10">
        <f>IF($B$10=2,G13,E13)</f>
        <v/>
      </c>
      <c r="K13" s="12">
        <f>IF(I13="","",I13/J13)</f>
        <v/>
      </c>
      <c r="L13" s="21">
        <f>IF(I13="","",IF(I13&gt;=ROUND(J13*$B$7,-3),2,IF(I13&gt;=J13,1,0)))</f>
        <v/>
      </c>
      <c r="M13" s="10">
        <f>IF(OR(L13="",L13=0),0,IF(L13=2,$B$9,$B$8))</f>
        <v/>
      </c>
    </row>
    <row r="14">
      <c r="A14" s="3" t="inlineStr">
        <is>
          <t>10月</t>
        </is>
      </c>
      <c r="B14" s="8" t="n">
        <v>4934704</v>
      </c>
      <c r="C14" s="12">
        <f>B14/SUM($B$12:$B$23)</f>
        <v/>
      </c>
      <c r="D14" s="10">
        <f>ROUND($B$4*C14,-3)</f>
        <v/>
      </c>
      <c r="E14" s="10">
        <f>ROUND($B$5*C14,-3)</f>
        <v/>
      </c>
      <c r="F14" s="10">
        <f>ROUND(E14*$B$7,-3)</f>
        <v/>
      </c>
      <c r="G14" s="10">
        <f>ROUND($B$5*5500000/60000000,-3)</f>
        <v/>
      </c>
      <c r="H14" s="10">
        <f>ROUND(G14*$B$7,-3)</f>
        <v/>
      </c>
      <c r="I14" s="5" t="n"/>
      <c r="J14" s="10">
        <f>IF($B$10=2,G14,E14)</f>
        <v/>
      </c>
      <c r="K14" s="12">
        <f>IF(I14="","",I14/J14)</f>
        <v/>
      </c>
      <c r="L14" s="21">
        <f>IF(I14="","",IF(I14&gt;=ROUND(J14*$B$7,-3),2,IF(I14&gt;=J14,1,0)))</f>
        <v/>
      </c>
      <c r="M14" s="10">
        <f>IF(OR(L14="",L14=0),0,IF(L14=2,$B$9,$B$8))</f>
        <v/>
      </c>
    </row>
    <row r="15">
      <c r="A15" s="3" t="inlineStr">
        <is>
          <t>11月</t>
        </is>
      </c>
      <c r="B15" s="8" t="n">
        <v>5149749</v>
      </c>
      <c r="C15" s="12">
        <f>B15/SUM($B$12:$B$23)</f>
        <v/>
      </c>
      <c r="D15" s="10">
        <f>ROUND($B$4*C15,-3)</f>
        <v/>
      </c>
      <c r="E15" s="10">
        <f>ROUND($B$5*C15,-3)</f>
        <v/>
      </c>
      <c r="F15" s="10">
        <f>ROUND(E15*$B$7,-3)</f>
        <v/>
      </c>
      <c r="G15" s="10">
        <f>ROUND($B$5*5500000/60000000,-3)</f>
        <v/>
      </c>
      <c r="H15" s="10">
        <f>ROUND(G15*$B$7,-3)</f>
        <v/>
      </c>
      <c r="I15" s="5" t="n"/>
      <c r="J15" s="10">
        <f>IF($B$10=2,G15,E15)</f>
        <v/>
      </c>
      <c r="K15" s="12">
        <f>IF(I15="","",I15/J15)</f>
        <v/>
      </c>
      <c r="L15" s="21">
        <f>IF(I15="","",IF(I15&gt;=ROUND(J15*$B$7,-3),2,IF(I15&gt;=J15,1,0)))</f>
        <v/>
      </c>
      <c r="M15" s="10">
        <f>IF(OR(L15="",L15=0),0,IF(L15=2,$B$9,$B$8))</f>
        <v/>
      </c>
    </row>
    <row r="16">
      <c r="A16" s="3" t="inlineStr">
        <is>
          <t>12月</t>
        </is>
      </c>
      <c r="B16" s="8" t="n">
        <v>6820952</v>
      </c>
      <c r="C16" s="12">
        <f>B16/SUM($B$12:$B$23)</f>
        <v/>
      </c>
      <c r="D16" s="10">
        <f>ROUND($B$4*C16,-3)</f>
        <v/>
      </c>
      <c r="E16" s="10">
        <f>ROUND($B$5*C16,-3)</f>
        <v/>
      </c>
      <c r="F16" s="10">
        <f>ROUND(E16*$B$7,-3)</f>
        <v/>
      </c>
      <c r="G16" s="10">
        <f>ROUND($B$5*7000000/60000000,-3)</f>
        <v/>
      </c>
      <c r="H16" s="10">
        <f>ROUND(G16*$B$7,-3)</f>
        <v/>
      </c>
      <c r="I16" s="5" t="n"/>
      <c r="J16" s="10">
        <f>IF($B$10=2,G16,E16)</f>
        <v/>
      </c>
      <c r="K16" s="12">
        <f>IF(I16="","",I16/J16)</f>
        <v/>
      </c>
      <c r="L16" s="21">
        <f>IF(I16="","",IF(I16&gt;=ROUND(J16*$B$7,-3),2,IF(I16&gt;=J16,1,0)))</f>
        <v/>
      </c>
      <c r="M16" s="10">
        <f>IF(OR(L16="",L16=0),0,IF(L16=2,$B$9,$B$8))</f>
        <v/>
      </c>
    </row>
    <row r="17">
      <c r="A17" s="3" t="inlineStr">
        <is>
          <t>2027年1月</t>
        </is>
      </c>
      <c r="B17" s="8" t="n">
        <v>4850701</v>
      </c>
      <c r="C17" s="12">
        <f>B17/SUM($B$12:$B$23)</f>
        <v/>
      </c>
      <c r="D17" s="10">
        <f>ROUND($B$4*C17,-3)</f>
        <v/>
      </c>
      <c r="E17" s="10">
        <f>ROUND($B$5*C17,-3)</f>
        <v/>
      </c>
      <c r="F17" s="10">
        <f>ROUND(E17*$B$7,-3)</f>
        <v/>
      </c>
      <c r="G17" s="10">
        <f>ROUND($B$5*6000000/60000000,-3)</f>
        <v/>
      </c>
      <c r="H17" s="10">
        <f>ROUND(G17*$B$7,-3)</f>
        <v/>
      </c>
      <c r="I17" s="5" t="n"/>
      <c r="J17" s="10">
        <f>IF($B$10=2,G17,E17)</f>
        <v/>
      </c>
      <c r="K17" s="12">
        <f>IF(I17="","",I17/J17)</f>
        <v/>
      </c>
      <c r="L17" s="21">
        <f>IF(I17="","",IF(I17&gt;=ROUND(J17*$B$7,-3),2,IF(I17&gt;=J17,1,0)))</f>
        <v/>
      </c>
      <c r="M17" s="10">
        <f>IF(OR(L17="",L17=0),0,IF(L17=2,$B$9,$B$8))</f>
        <v/>
      </c>
    </row>
    <row r="18">
      <c r="A18" s="3" t="inlineStr">
        <is>
          <t>2月</t>
        </is>
      </c>
      <c r="B18" s="8" t="n">
        <v>2795656</v>
      </c>
      <c r="C18" s="12">
        <f>B18/SUM($B$12:$B$23)</f>
        <v/>
      </c>
      <c r="D18" s="10">
        <f>ROUND($B$4*C18,-3)</f>
        <v/>
      </c>
      <c r="E18" s="10">
        <f>ROUND($B$5*C18,-3)</f>
        <v/>
      </c>
      <c r="F18" s="10">
        <f>ROUND(E18*$B$7,-3)</f>
        <v/>
      </c>
      <c r="G18" s="10">
        <f>ROUND($B$5*3500000/60000000,-3)</f>
        <v/>
      </c>
      <c r="H18" s="10">
        <f>ROUND(G18*$B$7,-3)</f>
        <v/>
      </c>
      <c r="I18" s="5" t="n"/>
      <c r="J18" s="10">
        <f>IF($B$10=2,G18,E18)</f>
        <v/>
      </c>
      <c r="K18" s="12">
        <f>IF(I18="","",I18/J18)</f>
        <v/>
      </c>
      <c r="L18" s="21">
        <f>IF(I18="","",IF(I18&gt;=ROUND(J18*$B$7,-3),2,IF(I18&gt;=J18,1,0)))</f>
        <v/>
      </c>
      <c r="M18" s="10">
        <f>IF(OR(L18="",L18=0),0,IF(L18=2,$B$9,$B$8))</f>
        <v/>
      </c>
    </row>
    <row r="19">
      <c r="A19" s="3" t="inlineStr">
        <is>
          <t>3月</t>
        </is>
      </c>
      <c r="B19" s="8" t="n">
        <v>4419804</v>
      </c>
      <c r="C19" s="12">
        <f>B19/SUM($B$12:$B$23)</f>
        <v/>
      </c>
      <c r="D19" s="10">
        <f>ROUND($B$4*C19,-3)</f>
        <v/>
      </c>
      <c r="E19" s="10">
        <f>ROUND($B$5*C19,-3)</f>
        <v/>
      </c>
      <c r="F19" s="10">
        <f>ROUND(E19*$B$7,-3)</f>
        <v/>
      </c>
      <c r="G19" s="10">
        <f>ROUND($B$5*5500000/60000000,-3)</f>
        <v/>
      </c>
      <c r="H19" s="10">
        <f>ROUND(G19*$B$7,-3)</f>
        <v/>
      </c>
      <c r="I19" s="5" t="n"/>
      <c r="J19" s="10">
        <f>IF($B$10=2,G19,E19)</f>
        <v/>
      </c>
      <c r="K19" s="12">
        <f>IF(I19="","",I19/J19)</f>
        <v/>
      </c>
      <c r="L19" s="21">
        <f>IF(I19="","",IF(I19&gt;=ROUND(J19*$B$7,-3),2,IF(I19&gt;=J19,1,0)))</f>
        <v/>
      </c>
      <c r="M19" s="10">
        <f>IF(OR(L19="",L19=0),0,IF(L19=2,$B$9,$B$8))</f>
        <v/>
      </c>
    </row>
    <row r="20">
      <c r="A20" s="3" t="inlineStr">
        <is>
          <t>4月</t>
        </is>
      </c>
      <c r="B20" s="8" t="n">
        <v>3581469</v>
      </c>
      <c r="C20" s="12">
        <f>B20/SUM($B$12:$B$23)</f>
        <v/>
      </c>
      <c r="D20" s="10">
        <f>ROUND($B$4*C20,-3)</f>
        <v/>
      </c>
      <c r="E20" s="10">
        <f>ROUND($B$5*C20,-3)</f>
        <v/>
      </c>
      <c r="F20" s="10">
        <f>ROUND(E20*$B$7,-3)</f>
        <v/>
      </c>
      <c r="G20" s="10">
        <f>ROUND($B$5*4500000/60000000,-3)</f>
        <v/>
      </c>
      <c r="H20" s="10">
        <f>ROUND(G20*$B$7,-3)</f>
        <v/>
      </c>
      <c r="I20" s="5" t="n"/>
      <c r="J20" s="10">
        <f>IF($B$10=2,G20,E20)</f>
        <v/>
      </c>
      <c r="K20" s="12">
        <f>IF(I20="","",I20/J20)</f>
        <v/>
      </c>
      <c r="L20" s="21">
        <f>IF(I20="","",IF(I20&gt;=ROUND(J20*$B$7,-3),2,IF(I20&gt;=J20,1,0)))</f>
        <v/>
      </c>
      <c r="M20" s="10">
        <f>IF(OR(L20="",L20=0),0,IF(L20=2,$B$9,$B$8))</f>
        <v/>
      </c>
    </row>
    <row r="21">
      <c r="A21" s="3" t="inlineStr">
        <is>
          <t>5月</t>
        </is>
      </c>
      <c r="B21" s="8" t="n">
        <v>4799124</v>
      </c>
      <c r="C21" s="12">
        <f>B21/SUM($B$12:$B$23)</f>
        <v/>
      </c>
      <c r="D21" s="10">
        <f>ROUND($B$4*C21,-3)</f>
        <v/>
      </c>
      <c r="E21" s="10">
        <f>ROUND($B$5*C21,-3)</f>
        <v/>
      </c>
      <c r="F21" s="10">
        <f>ROUND(E21*$B$7,-3)</f>
        <v/>
      </c>
      <c r="G21" s="10">
        <f>ROUND($B$5*4500000/60000000,-3)</f>
        <v/>
      </c>
      <c r="H21" s="10">
        <f>ROUND(G21*$B$7,-3)</f>
        <v/>
      </c>
      <c r="I21" s="5" t="n"/>
      <c r="J21" s="10">
        <f>IF($B$10=2,G21,E21)</f>
        <v/>
      </c>
      <c r="K21" s="12">
        <f>IF(I21="","",I21/J21)</f>
        <v/>
      </c>
      <c r="L21" s="21">
        <f>IF(I21="","",IF(I21&gt;=ROUND(J21*$B$7,-3),2,IF(I21&gt;=J21,1,0)))</f>
        <v/>
      </c>
      <c r="M21" s="10">
        <f>IF(OR(L21="",L21=0),0,IF(L21=2,$B$9,$B$8))</f>
        <v/>
      </c>
    </row>
    <row r="22">
      <c r="A22" s="3" t="inlineStr">
        <is>
          <t>6月</t>
        </is>
      </c>
      <c r="B22" s="8" t="n">
        <v>4888307</v>
      </c>
      <c r="C22" s="12">
        <f>B22/SUM($B$12:$B$23)</f>
        <v/>
      </c>
      <c r="D22" s="10">
        <f>ROUND($B$4*C22,-3)</f>
        <v/>
      </c>
      <c r="E22" s="10">
        <f>ROUND($B$5*C22,-3)</f>
        <v/>
      </c>
      <c r="F22" s="10">
        <f>ROUND(E22*$B$7,-3)</f>
        <v/>
      </c>
      <c r="G22" s="10">
        <f>ROUND($B$5*5500000/60000000,-3)</f>
        <v/>
      </c>
      <c r="H22" s="10">
        <f>ROUND(G22*$B$7,-3)</f>
        <v/>
      </c>
      <c r="I22" s="5" t="n"/>
      <c r="J22" s="10">
        <f>IF($B$10=2,G22,E22)</f>
        <v/>
      </c>
      <c r="K22" s="12">
        <f>IF(I22="","",I22/J22)</f>
        <v/>
      </c>
      <c r="L22" s="21">
        <f>IF(I22="","",IF(I22&gt;=ROUND(J22*$B$7,-3),2,IF(I22&gt;=J22,1,0)))</f>
        <v/>
      </c>
      <c r="M22" s="10">
        <f>IF(OR(L22="",L22=0),0,IF(L22=2,$B$9,$B$8))</f>
        <v/>
      </c>
    </row>
    <row r="23">
      <c r="A23" s="3" t="inlineStr">
        <is>
          <t>7月</t>
        </is>
      </c>
      <c r="B23" s="8" t="n">
        <v>4741065</v>
      </c>
      <c r="C23" s="12">
        <f>B23/SUM($B$12:$B$23)</f>
        <v/>
      </c>
      <c r="D23" s="10">
        <f>ROUND($B$4*C23,-3)</f>
        <v/>
      </c>
      <c r="E23" s="10">
        <f>ROUND($B$5*C23,-3)</f>
        <v/>
      </c>
      <c r="F23" s="10">
        <f>ROUND(E23*$B$7,-3)</f>
        <v/>
      </c>
      <c r="G23" s="10">
        <f>ROUND($B$5*4500000/60000000,-3)</f>
        <v/>
      </c>
      <c r="H23" s="10">
        <f>ROUND(G23*$B$7,-3)</f>
        <v/>
      </c>
      <c r="I23" s="5" t="n"/>
      <c r="J23" s="10">
        <f>IF($B$10=2,G23,E23)</f>
        <v/>
      </c>
      <c r="K23" s="12">
        <f>IF(I23="","",I23/J23)</f>
        <v/>
      </c>
      <c r="L23" s="21">
        <f>IF(I23="","",IF(I23&gt;=ROUND(J23*$B$7,-3),2,IF(I23&gt;=J23,1,0)))</f>
        <v/>
      </c>
      <c r="M23" s="10">
        <f>IF(OR(L23="",L23=0),0,IF(L23=2,$B$9,$B$8))</f>
        <v/>
      </c>
    </row>
    <row r="24">
      <c r="A24" s="11" t="inlineStr">
        <is>
          <t>年計</t>
        </is>
      </c>
      <c r="B24" s="14">
        <f>SUM(B12:B23)</f>
        <v/>
      </c>
      <c r="C24" s="24">
        <f>SUM(C12:C23)</f>
        <v/>
      </c>
      <c r="D24" s="14">
        <f>SUM(D12:D23)</f>
        <v/>
      </c>
      <c r="E24" s="14">
        <f>SUM(E12:E23)</f>
        <v/>
      </c>
      <c r="F24" s="14">
        <f>SUM(F12:F23)</f>
        <v/>
      </c>
      <c r="G24" s="14">
        <f>SUM(G12:G23)</f>
        <v/>
      </c>
      <c r="H24" s="14">
        <f>SUM(H12:H23)</f>
        <v/>
      </c>
      <c r="I24" s="14">
        <f>SUM(I12:I23)</f>
        <v/>
      </c>
      <c r="J24" s="14">
        <f>SUM(J12:J23)</f>
        <v/>
      </c>
      <c r="M24" s="14">
        <f>SUM(M12:M23)</f>
        <v/>
      </c>
    </row>
    <row r="25">
      <c r="A25" s="11" t="inlineStr">
        <is>
          <t>全月達成した場合の報奨金（年）</t>
        </is>
      </c>
      <c r="E25" s="14">
        <f>B8*12</f>
        <v/>
      </c>
      <c r="F25" s="14">
        <f>B9*12</f>
        <v/>
      </c>
    </row>
    <row r="26">
      <c r="A26" s="3" t="inlineStr">
        <is>
          <t>前年構成比＝2025/8〜2026/7の月別売上（発展会計）の比率。会計の月次粗利は棚卸の調整で振れる（1月−124万円）ため、配分には売上の比率を使う。千円単位の丸めで年計が±1千円ずれることがある。</t>
        </is>
      </c>
    </row>
    <row r="27">
      <c r="A27" s="11" t="inlineStr">
        <is>
          <t>1人あたりの月額（店舗計を配分）</t>
        </is>
      </c>
    </row>
    <row r="28">
      <c r="A28" s="4" t="inlineStr">
        <is>
          <t>区分</t>
        </is>
      </c>
      <c r="B28" s="4" t="inlineStr">
        <is>
          <t>人数</t>
        </is>
      </c>
      <c r="C28" s="4" t="inlineStr">
        <is>
          <t>配分の重み</t>
        </is>
      </c>
      <c r="D28" s="4" t="inlineStr">
        <is>
          <t>第1段階（円）</t>
        </is>
      </c>
      <c r="E28" s="4" t="inlineStr">
        <is>
          <t>第2段階（円）</t>
        </is>
      </c>
    </row>
    <row r="29">
      <c r="A29" s="3" t="inlineStr">
        <is>
          <t>店長</t>
        </is>
      </c>
      <c r="B29" s="13" t="n">
        <v>1</v>
      </c>
      <c r="C29" s="13" t="n">
        <v>25</v>
      </c>
      <c r="D29" s="10">
        <f>ROUND($B$8*C29/SUMPRODUCT($B$29:$B$31,$C$29:$C$31),-2)</f>
        <v/>
      </c>
      <c r="E29" s="10">
        <f>ROUND($B$9*C29/SUMPRODUCT($B$29:$B$31,$C$29:$C$31),-2)</f>
        <v/>
      </c>
    </row>
    <row r="30">
      <c r="A30" s="3" t="inlineStr">
        <is>
          <t>古参パート</t>
        </is>
      </c>
      <c r="B30" s="13" t="n">
        <v>1</v>
      </c>
      <c r="C30" s="13" t="n">
        <v>20</v>
      </c>
      <c r="D30" s="10">
        <f>ROUND($B$8*C30/SUMPRODUCT($B$29:$B$31,$C$29:$C$31),-2)</f>
        <v/>
      </c>
      <c r="E30" s="10">
        <f>ROUND($B$9*C30/SUMPRODUCT($B$29:$B$31,$C$29:$C$31),-2)</f>
        <v/>
      </c>
    </row>
    <row r="31">
      <c r="A31" s="3" t="inlineStr">
        <is>
          <t>その他パート</t>
        </is>
      </c>
      <c r="B31" s="13" t="n">
        <v>3</v>
      </c>
      <c r="C31" s="13" t="n">
        <v>10</v>
      </c>
      <c r="D31" s="10">
        <f>ROUND($B$8*C31/SUMPRODUCT($B$29:$B$31,$C$29:$C$31),-2)</f>
        <v/>
      </c>
      <c r="E31" s="10">
        <f>ROUND($B$9*C31/SUMPRODUCT($B$29:$B$31,$C$29:$C$31),-2)</f>
        <v/>
      </c>
    </row>
    <row r="32">
      <c r="A32" s="11" t="inlineStr">
        <is>
          <t>合計（月）</t>
        </is>
      </c>
      <c r="D32" s="14">
        <f>SUMPRODUCT(B29:B31,D29:D31)</f>
        <v/>
      </c>
      <c r="E32" s="14">
        <f>SUMPRODUCT(B29:B31,E29:E31)</f>
        <v/>
      </c>
    </row>
    <row r="34">
      <c r="A34" s="3" t="inlineStr">
        <is>
          <t>考え方：第1段階（月3万円・年36万円）は予算達成時の経常利益の約半分。第2段階は、105%達成で増える利益（年約88万円）の約3割を上乗せした額（月5.1万円・年61万円）。</t>
        </is>
      </c>
    </row>
    <row r="35">
      <c r="A35" s="3" t="inlineStr">
        <is>
          <t>判定は粗利額のみ（売上は参考）。粗利目標は千円単位で丸め。処分品は粗利の計算から除く。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70" customWidth="1" min="3" max="3"/>
    <col width="14" customWidth="1" min="4" max="4"/>
    <col width="14" customWidth="1" min="5" max="5"/>
  </cols>
  <sheetData>
    <row r="1">
      <c r="A1" s="1" t="inlineStr">
        <is>
          <t>Weekends 2027年度（2026/8〜2027/7）予算と報奨金　前提条件</t>
        </is>
      </c>
      <c r="B1" s="2" t="n"/>
      <c r="C1" s="2" t="n"/>
      <c r="D1" s="2" t="n"/>
      <c r="E1" s="2" t="n"/>
    </row>
    <row r="2">
      <c r="A2" s="3" t="inlineStr">
        <is>
          <t>青字＝入力値（変えると全シートが再計算）／黄色＝経営判断で決める値／黒字＝計算式。金額は税抜・円。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項目</t>
        </is>
      </c>
      <c r="B4" s="4" t="inlineStr">
        <is>
          <t>値</t>
        </is>
      </c>
      <c r="C4" s="4" t="inlineStr">
        <is>
          <t>出所・備考</t>
        </is>
      </c>
      <c r="D4" s="2" t="n"/>
      <c r="E4" s="2" t="n"/>
    </row>
    <row r="5">
      <c r="A5" s="3" t="inlineStr">
        <is>
          <t>年間予算売上（税抜）</t>
        </is>
      </c>
      <c r="B5" s="5" t="n">
        <v>60000000</v>
      </c>
      <c r="C5" s="3" t="inlineStr">
        <is>
          <t>スマレジ登録の店舗予算（ユーザー確認：税抜）</t>
        </is>
      </c>
      <c r="D5" s="2" t="n"/>
      <c r="E5" s="2" t="n"/>
    </row>
    <row r="6">
      <c r="A6" s="3" t="inlineStr">
        <is>
          <t>目標粗利率</t>
        </is>
      </c>
      <c r="B6" s="6" t="n">
        <v>0.35</v>
      </c>
      <c r="C6" s="3" t="inlineStr">
        <is>
          <t>9/22経営者指示。前年31.0%・前々年34.3%</t>
        </is>
      </c>
      <c r="D6" s="2" t="n"/>
      <c r="E6" s="2" t="n"/>
    </row>
    <row r="7">
      <c r="A7" s="3" t="inlineStr">
        <is>
          <t>テナント経費の売上連動率</t>
        </is>
      </c>
      <c r="B7" s="7" t="n">
        <v>0.0692</v>
      </c>
      <c r="C7" s="3" t="inlineStr">
        <is>
          <t>売上歩合制（ユーザー確認）。2025/8〜2026/7の月次12点の回帰、決定係数0.94</t>
        </is>
      </c>
      <c r="D7" s="2" t="n"/>
      <c r="E7" s="2" t="n"/>
    </row>
    <row r="8">
      <c r="A8" s="3" t="inlineStr">
        <is>
          <t>テナント経費の固定分（月）</t>
        </is>
      </c>
      <c r="B8" s="8" t="n">
        <v>209792</v>
      </c>
      <c r="C8" s="3" t="inlineStr">
        <is>
          <t>同上の回帰の切片（共益費などの定額分とみなす）</t>
        </is>
      </c>
      <c r="D8" s="2" t="n"/>
      <c r="E8" s="2" t="n"/>
    </row>
    <row r="9">
      <c r="A9" s="3" t="inlineStr">
        <is>
          <t>店舗の固定経費（年）</t>
        </is>
      </c>
      <c r="B9" s="8" t="n">
        <v>3493268</v>
      </c>
      <c r="C9" s="3" t="inlineStr">
        <is>
          <t>発展会計 営業部の販管費972.4万からテナント経費623.0万を除いた額</t>
        </is>
      </c>
      <c r="D9" s="2" t="n"/>
      <c r="E9" s="2" t="n"/>
    </row>
    <row r="10">
      <c r="A10" s="3" t="inlineStr">
        <is>
          <t>給与合計（月）</t>
        </is>
      </c>
      <c r="B10" s="8" t="n">
        <v>639029</v>
      </c>
      <c r="C10" s="3" t="inlineStr">
        <is>
          <t>8/16〜9/15の給与実績（中川・小部・八木・島の4名）</t>
        </is>
      </c>
      <c r="D10" s="2" t="n"/>
      <c r="E10" s="2" t="n"/>
    </row>
    <row r="11">
      <c r="A11" s="3" t="inlineStr">
        <is>
          <t>社保加入者の給与（月）</t>
        </is>
      </c>
      <c r="B11" s="8" t="n">
        <v>544094</v>
      </c>
      <c r="C11" s="3" t="inlineStr">
        <is>
          <t>中川＋小部（社会保険加入と仮定）</t>
        </is>
      </c>
      <c r="D11" s="2" t="n"/>
      <c r="E11" s="2" t="n"/>
    </row>
    <row r="12">
      <c r="A12" s="3" t="inlineStr">
        <is>
          <t>賞与（年）</t>
        </is>
      </c>
      <c r="B12" s="8" t="n">
        <v>770000</v>
      </c>
      <c r="C12" s="3" t="inlineStr">
        <is>
          <t>今年も77万円（ユーザー確認）</t>
        </is>
      </c>
      <c r="D12" s="2" t="n"/>
      <c r="E12" s="2" t="n"/>
    </row>
    <row r="13">
      <c r="A13" s="3" t="inlineStr">
        <is>
          <t>法定福利の料率</t>
        </is>
      </c>
      <c r="B13" s="6" t="n">
        <v>0.155</v>
      </c>
      <c r="C13" s="3" t="inlineStr">
        <is>
          <t>仮置き。社保加入者の給与と賞与に掛ける</t>
        </is>
      </c>
      <c r="D13" s="2" t="n"/>
      <c r="E13" s="2" t="n"/>
    </row>
    <row r="14">
      <c r="A14" s="3" t="inlineStr">
        <is>
          <t>共通部の実費（年）</t>
        </is>
      </c>
      <c r="B14" s="8" t="n">
        <v>943852</v>
      </c>
      <c r="C14" s="3" t="inlineStr">
        <is>
          <t>発展会計 全社−営業部−人件費。主に租税公課（3月・7月）</t>
        </is>
      </c>
      <c r="D14" s="2" t="n"/>
      <c r="E14" s="2" t="n"/>
    </row>
    <row r="15">
      <c r="A15" s="3" t="inlineStr">
        <is>
          <t>本部費（月）</t>
        </is>
      </c>
      <c r="B15" s="8" t="n">
        <v>158000</v>
      </c>
      <c r="C15" s="3" t="inlineStr">
        <is>
          <t>管理会計シートの共通費。グループ共通費5,422万円の人員割（グラン2人／57.5人）</t>
        </is>
      </c>
      <c r="D15" s="2" t="n"/>
      <c r="E15" s="2" t="n"/>
    </row>
    <row r="16">
      <c r="A16" s="3" t="inlineStr">
        <is>
          <t>前年売上（2025/8〜2026/7）</t>
        </is>
      </c>
      <c r="B16" s="8" t="n">
        <v>53660301</v>
      </c>
      <c r="C16" s="3" t="inlineStr">
        <is>
          <t>発展会計 全社 税抜</t>
        </is>
      </c>
      <c r="D16" s="2" t="n"/>
      <c r="E16" s="2" t="n"/>
    </row>
    <row r="17">
      <c r="A17" s="3" t="inlineStr">
        <is>
          <t>前年粗利</t>
        </is>
      </c>
      <c r="B17" s="8" t="n">
        <v>16612146</v>
      </c>
      <c r="C17" s="3" t="inlineStr">
        <is>
          <t>発展会計 全社 税抜</t>
        </is>
      </c>
      <c r="D17" s="2" t="n"/>
      <c r="E17" s="2" t="n"/>
    </row>
    <row r="18">
      <c r="A18" s="3" t="inlineStr">
        <is>
          <t>営業日数（年）</t>
        </is>
      </c>
      <c r="B18" s="9" t="n">
        <v>313</v>
      </c>
      <c r="C18" s="3" t="inlineStr">
        <is>
          <t>水曜定休の場合。前年は269日（記憶ベース・未確認）</t>
        </is>
      </c>
      <c r="D18" s="2" t="n"/>
      <c r="E18" s="2" t="n"/>
    </row>
    <row r="19">
      <c r="A19" s="3" t="inlineStr">
        <is>
          <t>参考：人件費の積み上げ（年）</t>
        </is>
      </c>
      <c r="B19" s="10">
        <f>B10*12+B12+(B11*12+B12)*B13</f>
        <v/>
      </c>
      <c r="C19" s="3" t="inlineStr">
        <is>
          <t>給与×12＋賞与＋法定福利。採用値は26行目の月額×12</t>
        </is>
      </c>
      <c r="D19" s="2" t="n"/>
      <c r="E19" s="2" t="n"/>
    </row>
    <row r="20">
      <c r="A20" s="11" t="inlineStr">
        <is>
          <t>計算値</t>
        </is>
      </c>
      <c r="B20" s="2" t="n"/>
      <c r="C20" s="2" t="n"/>
      <c r="D20" s="2" t="n"/>
      <c r="E20" s="2" t="n"/>
    </row>
    <row r="21">
      <c r="A21" s="3" t="inlineStr">
        <is>
          <t>人件費（年）</t>
        </is>
      </c>
      <c r="B21" s="10">
        <f>B26*12</f>
        <v/>
      </c>
      <c r="C21" s="3" t="inlineStr">
        <is>
          <t>26行目の月額×12（年960万円）</t>
        </is>
      </c>
      <c r="D21" s="2" t="n"/>
      <c r="E21" s="2" t="n"/>
    </row>
    <row r="22">
      <c r="A22" s="3" t="inlineStr">
        <is>
          <t>固定費：新体制の実費（年）</t>
        </is>
      </c>
      <c r="B22" s="10">
        <f>B9+B8*12+B21+B14</f>
        <v/>
      </c>
      <c r="C22" s="3" t="inlineStr">
        <is>
          <t>店舗の固定経費＋テナント固定分＋人件費＋共通部の実費</t>
        </is>
      </c>
      <c r="D22" s="2" t="n"/>
      <c r="E22" s="2" t="n"/>
    </row>
    <row r="23">
      <c r="A23" s="3" t="inlineStr">
        <is>
          <t>固定費：本部費込み（年）</t>
        </is>
      </c>
      <c r="B23" s="10">
        <f>B9+B8*12+B21+B15*12</f>
        <v/>
      </c>
      <c r="C23" s="3" t="inlineStr">
        <is>
          <t>共通部の実費を本部費（月額×12）に置き換え</t>
        </is>
      </c>
      <c r="D23" s="2" t="n"/>
      <c r="E23" s="2" t="n"/>
    </row>
    <row r="24">
      <c r="A24" s="3" t="inlineStr">
        <is>
          <t>限界利益率</t>
        </is>
      </c>
      <c r="B24" s="12">
        <f>B6-B7</f>
        <v/>
      </c>
      <c r="C24" s="3" t="inlineStr">
        <is>
          <t>粗利率−テナント連動率。売上1円の上積みで残る割合</t>
        </is>
      </c>
      <c r="D24" s="2" t="n"/>
      <c r="E24" s="2" t="n"/>
    </row>
    <row r="25">
      <c r="A25" s="3" t="inlineStr">
        <is>
          <t>予算粗利（年）</t>
        </is>
      </c>
      <c r="B25" s="10">
        <f>B5*B6</f>
        <v/>
      </c>
      <c r="C25" s="3" t="inlineStr"/>
      <c r="D25" s="2" t="n"/>
      <c r="E25" s="2" t="n"/>
    </row>
    <row r="26">
      <c r="A26" s="3" t="inlineStr">
        <is>
          <t>人件費（月・1か月分に平準化）</t>
        </is>
      </c>
      <c r="B26" s="5" t="n">
        <v>800000</v>
      </c>
      <c r="C26" s="3" t="inlineStr">
        <is>
          <t>年960万円÷12（経営判断で指定）。賞与月も含め毎月同額で計上。参考：給与×12＋賞与＋法定福利の積み上げは下の行</t>
        </is>
      </c>
      <c r="D26" s="2" t="n"/>
      <c r="E26" s="2" t="n"/>
    </row>
    <row r="27">
      <c r="A27" s="11" t="inlineStr">
        <is>
          <t>報奨金の金額表（1人あたり月額・円）</t>
        </is>
      </c>
      <c r="B27" s="2" t="n"/>
      <c r="C27" s="2" t="n"/>
      <c r="D27" s="2" t="n"/>
      <c r="E27" s="2" t="n"/>
    </row>
    <row r="28">
      <c r="A28" s="4" t="inlineStr">
        <is>
          <t>区分</t>
        </is>
      </c>
      <c r="B28" s="4" t="inlineStr">
        <is>
          <t>人数</t>
        </is>
      </c>
      <c r="C28" s="4" t="inlineStr">
        <is>
          <t>第1段階</t>
        </is>
      </c>
      <c r="D28" s="4" t="inlineStr">
        <is>
          <t>第2段階</t>
        </is>
      </c>
      <c r="E28" s="4" t="inlineStr">
        <is>
          <t>第3段階</t>
        </is>
      </c>
    </row>
    <row r="29">
      <c r="A29" s="3" t="inlineStr">
        <is>
          <t>店長</t>
        </is>
      </c>
      <c r="B29" s="13" t="n">
        <v>1</v>
      </c>
      <c r="C29" s="5" t="n">
        <v>8000</v>
      </c>
      <c r="D29" s="5" t="n">
        <v>13000</v>
      </c>
      <c r="E29" s="5" t="n">
        <v>18000</v>
      </c>
    </row>
    <row r="30">
      <c r="A30" s="3" t="inlineStr">
        <is>
          <t>古参パート</t>
        </is>
      </c>
      <c r="B30" s="13" t="n">
        <v>1</v>
      </c>
      <c r="C30" s="5" t="n">
        <v>7000</v>
      </c>
      <c r="D30" s="5" t="n">
        <v>10000</v>
      </c>
      <c r="E30" s="5" t="n">
        <v>13000</v>
      </c>
    </row>
    <row r="31">
      <c r="A31" s="3" t="inlineStr">
        <is>
          <t>その他パート</t>
        </is>
      </c>
      <c r="B31" s="13" t="n">
        <v>3</v>
      </c>
      <c r="C31" s="5" t="n">
        <v>3000</v>
      </c>
      <c r="D31" s="5" t="n">
        <v>5000</v>
      </c>
      <c r="E31" s="5" t="n">
        <v>7000</v>
      </c>
    </row>
    <row r="32">
      <c r="A32" s="11" t="inlineStr">
        <is>
          <t>店舗合計（月）</t>
        </is>
      </c>
      <c r="B32" s="2" t="n"/>
      <c r="C32" s="14">
        <f>SUMPRODUCT($B$29:$B$31,C29:C31)</f>
        <v/>
      </c>
      <c r="D32" s="14">
        <f>SUMPRODUCT($B$29:$B$31,D29:D31)</f>
        <v/>
      </c>
      <c r="E32" s="14">
        <f>SUMPRODUCT($B$29:$B$31,E29:E31)</f>
        <v/>
      </c>
    </row>
    <row r="33">
      <c r="A33" s="11" t="inlineStr">
        <is>
          <t>店舗合計（年・全月同じ段階）</t>
        </is>
      </c>
      <c r="B33" s="2" t="n"/>
      <c r="C33" s="14">
        <f>C32*12</f>
        <v/>
      </c>
      <c r="D33" s="14">
        <f>D32*12</f>
        <v/>
      </c>
      <c r="E33" s="14">
        <f>E32*12</f>
        <v/>
      </c>
    </row>
    <row r="34">
      <c r="A34" s="2" t="n"/>
      <c r="B34" s="2" t="n"/>
      <c r="C34" s="2" t="n"/>
      <c r="D34" s="2" t="n"/>
      <c r="E34" s="2" t="n"/>
    </row>
    <row r="35">
      <c r="A35" s="11" t="inlineStr">
        <is>
          <t>段階の判定（予算比）</t>
        </is>
      </c>
      <c r="B35" s="2" t="n"/>
      <c r="C35" s="2" t="n"/>
      <c r="D35" s="2" t="n"/>
      <c r="E35" s="2" t="n"/>
    </row>
    <row r="36">
      <c r="A36" s="4" t="inlineStr">
        <is>
          <t>段階</t>
        </is>
      </c>
      <c r="B36" s="4" t="inlineStr">
        <is>
          <t>予算比（以上）</t>
        </is>
      </c>
      <c r="C36" s="4" t="inlineStr">
        <is>
          <t>備考</t>
        </is>
      </c>
      <c r="D36" s="2" t="n"/>
      <c r="E36" s="2" t="n"/>
    </row>
    <row r="37">
      <c r="A37" s="3" t="inlineStr">
        <is>
          <t>第1段階</t>
        </is>
      </c>
      <c r="B37" s="6" t="n">
        <v>1</v>
      </c>
      <c r="C37" s="3" t="inlineStr">
        <is>
          <t>損益分岐＋報奨金とほぼ同じ水準</t>
        </is>
      </c>
      <c r="D37" s="2" t="n"/>
      <c r="E37" s="2" t="n"/>
    </row>
    <row r="38">
      <c r="A38" s="3" t="inlineStr">
        <is>
          <t>第2段階</t>
        </is>
      </c>
      <c r="B38" s="6" t="n">
        <v>1.05</v>
      </c>
      <c r="C38" s="3" t="inlineStr"/>
      <c r="D38" s="2" t="n"/>
      <c r="E38" s="2" t="n"/>
    </row>
    <row r="39">
      <c r="A39" s="3" t="inlineStr">
        <is>
          <t>第3段階</t>
        </is>
      </c>
      <c r="B39" s="6" t="n">
        <v>1.1</v>
      </c>
      <c r="C39" s="3" t="inlineStr">
        <is>
          <t>本部費込みでも黒字になる水準</t>
        </is>
      </c>
      <c r="D39" s="2" t="n"/>
      <c r="E39" s="2" t="n"/>
    </row>
    <row r="40">
      <c r="A40" s="3" t="inlineStr">
        <is>
          <t>判定ルール：スコア＝粗利額の予算比×80%＋売上の予算比×20%。ただし粗利額が予算未達なら0円。判定は毎月、支払いは夏冬の賞与にまとめる案。</t>
        </is>
      </c>
      <c r="B40" s="2" t="n"/>
      <c r="C40" s="2" t="n"/>
      <c r="D40" s="2" t="n"/>
      <c r="E4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70" customWidth="1" min="4" max="4"/>
    <col width="20" customWidth="1" min="5" max="5"/>
  </cols>
  <sheetData>
    <row r="1">
      <c r="A1" s="1" t="inlineStr">
        <is>
          <t>固定費と変動費の分解（前年実績 → 今年の見込み）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4" t="inlineStr">
        <is>
          <t>勘定科目</t>
        </is>
      </c>
      <c r="B3" s="4" t="inlineStr">
        <is>
          <t>前年実績（年・円）</t>
        </is>
      </c>
      <c r="C3" s="4" t="inlineStr">
        <is>
          <t>区分</t>
        </is>
      </c>
      <c r="D3" s="4" t="inlineStr">
        <is>
          <t>判断の根拠</t>
        </is>
      </c>
      <c r="E3" s="4" t="inlineStr">
        <is>
          <t>今年の見込み（年・円）</t>
        </is>
      </c>
    </row>
    <row r="4">
      <c r="A4" s="3" t="inlineStr">
        <is>
          <t>売上原価</t>
        </is>
      </c>
      <c r="B4" s="8" t="n">
        <v>37048155</v>
      </c>
      <c r="C4" s="3" t="inlineStr">
        <is>
          <t>変動</t>
        </is>
      </c>
      <c r="D4" s="3" t="inlineStr">
        <is>
          <t>売上×（1−粗利率）</t>
        </is>
      </c>
      <c r="E4" s="15">
        <f>前提!B5*(1-前提!B6)</f>
        <v/>
      </c>
    </row>
    <row r="5">
      <c r="A5" s="3" t="inlineStr">
        <is>
          <t>テナント経費（連動分）</t>
        </is>
      </c>
      <c r="B5" s="8" t="n">
        <v>3713272</v>
      </c>
      <c r="C5" s="3" t="inlineStr">
        <is>
          <t>変動</t>
        </is>
      </c>
      <c r="D5" s="3" t="inlineStr">
        <is>
          <t>売上歩合制（確認済み）。回帰で売上の6.92%</t>
        </is>
      </c>
      <c r="E5" s="15">
        <f>前提!B5*前提!B7</f>
        <v/>
      </c>
    </row>
    <row r="6">
      <c r="A6" s="3" t="inlineStr">
        <is>
          <t>テナント経費（固定分）</t>
        </is>
      </c>
      <c r="B6" s="8" t="n">
        <v>2517504</v>
      </c>
      <c r="C6" s="3" t="inlineStr">
        <is>
          <t>固定</t>
        </is>
      </c>
      <c r="D6" s="3" t="inlineStr">
        <is>
          <t>売上の少ない月ほど比率が高い（2月16.1%、12月10.3%）ため定額分とみる</t>
        </is>
      </c>
      <c r="E6" s="15">
        <f>前提!B8*12</f>
        <v/>
      </c>
    </row>
    <row r="7">
      <c r="A7" s="3" t="inlineStr">
        <is>
          <t>人件費（給与・賞与・法定福利）</t>
        </is>
      </c>
      <c r="B7" s="8" t="n">
        <v>8091567</v>
      </c>
      <c r="C7" s="3" t="inlineStr">
        <is>
          <t>固定</t>
        </is>
      </c>
      <c r="D7" s="3" t="inlineStr">
        <is>
          <t>売上と連動なし（決定係数0.13）</t>
        </is>
      </c>
      <c r="E7" s="15">
        <f>前提!B21</f>
        <v/>
      </c>
    </row>
    <row r="8">
      <c r="A8" s="3" t="inlineStr">
        <is>
          <t>管理諸費</t>
        </is>
      </c>
      <c r="B8" s="8" t="n">
        <v>1740717</v>
      </c>
      <c r="C8" s="16" t="inlineStr">
        <is>
          <t>固定（要確認）</t>
        </is>
      </c>
      <c r="D8" s="3" t="inlineStr">
        <is>
          <t>やや売上と連動（決定係数0.10）、11月に398,379円。カード手数料を含むなら変動費へ</t>
        </is>
      </c>
      <c r="E8" s="8" t="n">
        <v>1740717</v>
      </c>
    </row>
    <row r="9">
      <c r="A9" s="3" t="inlineStr">
        <is>
          <t>租税公課</t>
        </is>
      </c>
      <c r="B9" s="8" t="n">
        <v>907400</v>
      </c>
      <c r="C9" s="16" t="inlineStr">
        <is>
          <t>固定（要確認）</t>
        </is>
      </c>
      <c r="D9" s="3" t="inlineStr">
        <is>
          <t>3月436,200・7月446,300円（共通部）。消費税の納付なら売上連動へ</t>
        </is>
      </c>
      <c r="E9" s="8" t="n">
        <v>907400</v>
      </c>
    </row>
    <row r="10">
      <c r="A10" s="3" t="inlineStr">
        <is>
          <t>減価償却費</t>
        </is>
      </c>
      <c r="B10" s="8" t="n">
        <v>529231</v>
      </c>
      <c r="C10" s="3" t="inlineStr">
        <is>
          <t>固定</t>
        </is>
      </c>
      <c r="D10" s="3" t="inlineStr">
        <is>
          <t>毎月44,000円</t>
        </is>
      </c>
      <c r="E10" s="8" t="n">
        <v>529231</v>
      </c>
    </row>
    <row r="11">
      <c r="A11" s="3" t="inlineStr">
        <is>
          <t>旅費交通費</t>
        </is>
      </c>
      <c r="B11" s="8" t="n">
        <v>374053</v>
      </c>
      <c r="C11" s="3" t="inlineStr">
        <is>
          <t>固定</t>
        </is>
      </c>
      <c r="D11" s="3" t="inlineStr">
        <is>
          <t>仕入・展示会の出張費（確認済み）</t>
        </is>
      </c>
      <c r="E11" s="8" t="n">
        <v>374053</v>
      </c>
    </row>
    <row r="12">
      <c r="A12" s="3" t="inlineStr">
        <is>
          <t>システム関連費</t>
        </is>
      </c>
      <c r="B12" s="8" t="n">
        <v>237018</v>
      </c>
      <c r="C12" s="3" t="inlineStr">
        <is>
          <t>固定</t>
        </is>
      </c>
      <c r="D12" s="3" t="inlineStr">
        <is>
          <t>毎月17,500円</t>
        </is>
      </c>
      <c r="E12" s="8" t="n">
        <v>237018</v>
      </c>
    </row>
    <row r="13">
      <c r="A13" s="3" t="inlineStr">
        <is>
          <t>消耗品費</t>
        </is>
      </c>
      <c r="B13" s="8" t="n">
        <v>180747</v>
      </c>
      <c r="C13" s="3" t="inlineStr">
        <is>
          <t>固定</t>
        </is>
      </c>
      <c r="D13" s="3" t="inlineStr">
        <is>
          <t>売上と連動なし</t>
        </is>
      </c>
      <c r="E13" s="8" t="n">
        <v>180747</v>
      </c>
    </row>
    <row r="14">
      <c r="A14" s="3" t="inlineStr">
        <is>
          <t>通信費</t>
        </is>
      </c>
      <c r="B14" s="8" t="n">
        <v>170618</v>
      </c>
      <c r="C14" s="3" t="inlineStr">
        <is>
          <t>固定</t>
        </is>
      </c>
      <c r="D14" s="3" t="inlineStr">
        <is>
          <t>毎月0.9〜1.9万円</t>
        </is>
      </c>
      <c r="E14" s="8" t="n">
        <v>170618</v>
      </c>
    </row>
    <row r="15">
      <c r="A15" s="3" t="inlineStr">
        <is>
          <t>広告宣伝費</t>
        </is>
      </c>
      <c r="B15" s="8" t="n">
        <v>141719</v>
      </c>
      <c r="C15" s="3" t="inlineStr">
        <is>
          <t>固定</t>
        </is>
      </c>
      <c r="D15" s="3" t="inlineStr">
        <is>
          <t>使う月を決めて出す費用</t>
        </is>
      </c>
      <c r="E15" s="8" t="n">
        <v>141719</v>
      </c>
    </row>
    <row r="16">
      <c r="A16" s="3" t="inlineStr">
        <is>
          <t>保険料</t>
        </is>
      </c>
      <c r="B16" s="8" t="n">
        <v>130020</v>
      </c>
      <c r="C16" s="3" t="inlineStr">
        <is>
          <t>固定</t>
        </is>
      </c>
      <c r="D16" s="3" t="inlineStr">
        <is>
          <t>10月に年額計上</t>
        </is>
      </c>
      <c r="E16" s="8" t="n">
        <v>130020</v>
      </c>
    </row>
    <row r="17">
      <c r="A17" s="3" t="inlineStr">
        <is>
          <t>その他（交際費・寄付金・雑費）</t>
        </is>
      </c>
      <c r="B17" s="8" t="n">
        <v>25597</v>
      </c>
      <c r="C17" s="3" t="inlineStr">
        <is>
          <t>固定</t>
        </is>
      </c>
      <c r="D17" s="3" t="inlineStr">
        <is>
          <t>少額</t>
        </is>
      </c>
      <c r="E17" s="8" t="n">
        <v>25597</v>
      </c>
    </row>
    <row r="18">
      <c r="A18" s="2" t="n"/>
      <c r="B18" s="2" t="n"/>
      <c r="C18" s="2" t="n"/>
      <c r="D18" s="2" t="n"/>
      <c r="E18" s="2" t="n"/>
    </row>
    <row r="19">
      <c r="A19" s="11" t="inlineStr">
        <is>
          <t>固定費の計</t>
        </is>
      </c>
      <c r="B19" s="14">
        <f>SUMIF(C4:C17,"固定*",B4:B17)</f>
        <v/>
      </c>
      <c r="C19" s="2" t="n"/>
      <c r="D19" s="3" t="inlineStr">
        <is>
          <t>本部費は含まない。前提シートの「新体制の実費」と一致するか確認：</t>
        </is>
      </c>
      <c r="E19" s="14">
        <f>SUMIF(C4:C17,"固定*",E4:E17)</f>
        <v/>
      </c>
    </row>
    <row r="20">
      <c r="A20" s="3" t="inlineStr">
        <is>
          <t>照合：前提シートの固定費（新体制の実費）</t>
        </is>
      </c>
      <c r="B20" s="2" t="n"/>
      <c r="C20" s="2" t="n"/>
      <c r="D20" s="2" t="n"/>
      <c r="E20" s="15">
        <f>前提!B22</f>
        <v/>
      </c>
    </row>
    <row r="21">
      <c r="A21" s="3" t="inlineStr">
        <is>
          <t>差（0なら一致）</t>
        </is>
      </c>
      <c r="B21" s="2" t="n"/>
      <c r="C21" s="2" t="n"/>
      <c r="D21" s="2" t="n"/>
      <c r="E21" s="10">
        <f>E19-E20</f>
        <v/>
      </c>
    </row>
    <row r="22">
      <c r="A22" s="2" t="n"/>
      <c r="B22" s="2" t="n"/>
      <c r="C22" s="2" t="n"/>
      <c r="D22" s="2" t="n"/>
      <c r="E22" s="2" t="n"/>
    </row>
    <row r="23">
      <c r="A23" s="3" t="inlineStr">
        <is>
          <t>前年の固定費の計は、人件費を前年実額（809.2万円）で計算した値。前年実績は発展会計 全社PL（2025/8〜2026/7、税抜）。</t>
        </is>
      </c>
      <c r="B23" s="2" t="n"/>
      <c r="C23" s="2" t="n"/>
      <c r="D23" s="2" t="n"/>
      <c r="E2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損益分岐点の段階（粗利率は前提シートの値）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4" t="inlineStr">
        <is>
          <t>段階</t>
        </is>
      </c>
      <c r="B3" s="4" t="inlineStr">
        <is>
          <t>年間の固定費</t>
        </is>
      </c>
      <c r="C3" s="4" t="inlineStr">
        <is>
          <t>必要な粗利額</t>
        </is>
      </c>
      <c r="D3" s="4" t="inlineStr">
        <is>
          <t>損益分岐の売上</t>
        </is>
      </c>
      <c r="E3" s="4" t="inlineStr">
        <is>
          <t>予算比</t>
        </is>
      </c>
      <c r="F3" s="4" t="inlineStr">
        <is>
          <t>前年比</t>
        </is>
      </c>
      <c r="G3" s="4" t="inlineStr">
        <is>
          <t>月平均の売上</t>
        </is>
      </c>
    </row>
    <row r="4">
      <c r="A4" s="3" t="inlineStr">
        <is>
          <t>① 前年体制の実費（人件費 809.2万円）</t>
        </is>
      </c>
      <c r="B4" s="15">
        <f>前提!B9+前提!B8*12+8091567+前提!B14</f>
        <v/>
      </c>
      <c r="C4" s="10">
        <f>D4*前提!$B$6</f>
        <v/>
      </c>
      <c r="D4" s="10">
        <f>B4/前提!$B$24</f>
        <v/>
      </c>
      <c r="E4" s="12">
        <f>D4/前提!$B$5</f>
        <v/>
      </c>
      <c r="F4" s="12">
        <f>D4/前提!$B$16</f>
        <v/>
      </c>
      <c r="G4" s="10">
        <f>D4/12</f>
        <v/>
      </c>
    </row>
    <row r="5">
      <c r="A5" s="17" t="inlineStr">
        <is>
          <t>② 新体制の実費</t>
        </is>
      </c>
      <c r="B5" s="18">
        <f>前提!B22</f>
        <v/>
      </c>
      <c r="C5" s="19">
        <f>D5*前提!$B$6</f>
        <v/>
      </c>
      <c r="D5" s="19">
        <f>B5/前提!$B$24</f>
        <v/>
      </c>
      <c r="E5" s="20">
        <f>D5/前提!$B$5</f>
        <v/>
      </c>
      <c r="F5" s="20">
        <f>D5/前提!$B$16</f>
        <v/>
      </c>
      <c r="G5" s="19">
        <f>D5/12</f>
        <v/>
      </c>
    </row>
    <row r="6">
      <c r="A6" s="3" t="inlineStr">
        <is>
          <t>③ ②＋報奨金（第1段階）</t>
        </is>
      </c>
      <c r="B6" s="15">
        <f>前提!B22+前提!C33</f>
        <v/>
      </c>
      <c r="C6" s="10">
        <f>D6*前提!$B$6</f>
        <v/>
      </c>
      <c r="D6" s="10">
        <f>B6/前提!$B$24</f>
        <v/>
      </c>
      <c r="E6" s="12">
        <f>D6/前提!$B$5</f>
        <v/>
      </c>
      <c r="F6" s="12">
        <f>D6/前提!$B$16</f>
        <v/>
      </c>
      <c r="G6" s="10">
        <f>D6/12</f>
        <v/>
      </c>
    </row>
    <row r="7">
      <c r="A7" s="3" t="inlineStr">
        <is>
          <t>④ ②＋本部費</t>
        </is>
      </c>
      <c r="B7" s="15">
        <f>前提!B23</f>
        <v/>
      </c>
      <c r="C7" s="10">
        <f>D7*前提!$B$6</f>
        <v/>
      </c>
      <c r="D7" s="10">
        <f>B7/前提!$B$24</f>
        <v/>
      </c>
      <c r="E7" s="12">
        <f>D7/前提!$B$5</f>
        <v/>
      </c>
      <c r="F7" s="12">
        <f>D7/前提!$B$16</f>
        <v/>
      </c>
      <c r="G7" s="10">
        <f>D7/12</f>
        <v/>
      </c>
    </row>
    <row r="8">
      <c r="A8" s="3" t="inlineStr">
        <is>
          <t>⑤ 管理会計シートの定額（人件費85万円/月＋本部費）</t>
        </is>
      </c>
      <c r="B8" s="15">
        <f>前提!B9+前提!B8*12+10200000+前提!B15*12</f>
        <v/>
      </c>
      <c r="C8" s="10">
        <f>D8*前提!$B$6</f>
        <v/>
      </c>
      <c r="D8" s="10">
        <f>B8/前提!$B$24</f>
        <v/>
      </c>
      <c r="E8" s="12">
        <f>D8/前提!$B$5</f>
        <v/>
      </c>
      <c r="F8" s="12">
        <f>D8/前提!$B$16</f>
        <v/>
      </c>
      <c r="G8" s="10">
        <f>D8/12</f>
        <v/>
      </c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3" t="inlineStr">
        <is>
          <t>予算の売上で黒字に必要な粗利率（新体制の実費）</t>
        </is>
      </c>
      <c r="B10" s="2" t="n"/>
      <c r="C10" s="2" t="n"/>
      <c r="D10" s="12">
        <f>前提!B22/前提!B5+前提!B7</f>
        <v/>
      </c>
      <c r="E10" s="2" t="n"/>
      <c r="F10" s="2" t="n"/>
      <c r="G10" s="2" t="n"/>
    </row>
    <row r="11">
      <c r="A11" s="3" t="inlineStr">
        <is>
          <t>同（本部費込み）</t>
        </is>
      </c>
      <c r="B11" s="2" t="n"/>
      <c r="C11" s="2" t="n"/>
      <c r="D11" s="12">
        <f>前提!B23/前提!B5+前提!B7</f>
        <v/>
      </c>
      <c r="E11" s="2" t="n"/>
      <c r="F11" s="2" t="n"/>
      <c r="G11" s="2" t="n"/>
    </row>
    <row r="12">
      <c r="A12" s="3" t="inlineStr">
        <is>
          <t>粗利率31%のまま予算どおり売った場合の営業損益（新体制の実費）</t>
        </is>
      </c>
      <c r="B12" s="2" t="n"/>
      <c r="C12" s="2" t="n"/>
      <c r="D12" s="10">
        <f>(0.31-前提!B7)*前提!B5-前提!B22</f>
        <v/>
      </c>
      <c r="E12" s="2" t="n"/>
      <c r="F12" s="2" t="n"/>
      <c r="G12" s="2" t="n"/>
    </row>
    <row r="13">
      <c r="A13" s="3" t="inlineStr">
        <is>
          <t>粗利率1ポイントの価値（予算売上時・年）</t>
        </is>
      </c>
      <c r="B13" s="2" t="n"/>
      <c r="C13" s="2" t="n"/>
      <c r="D13" s="10">
        <f>前提!B5*0.01</f>
        <v/>
      </c>
      <c r="E13" s="2" t="n"/>
      <c r="F13" s="2" t="n"/>
      <c r="G13" s="2" t="n"/>
    </row>
    <row r="14">
      <c r="A14" s="3" t="inlineStr">
        <is>
          <t>売上100万円の上積みで残る利益</t>
        </is>
      </c>
      <c r="B14" s="2" t="n"/>
      <c r="C14" s="2" t="n"/>
      <c r="D14" s="10">
        <f>1000000*前提!B24</f>
        <v/>
      </c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3" t="inlineStr">
        <is>
          <t>損益分岐の売上＝固定費÷限界利益率（粗利率−テナント連動率）。</t>
        </is>
      </c>
      <c r="B16" s="2" t="n"/>
      <c r="C16" s="2" t="n"/>
      <c r="D16" s="2" t="n"/>
      <c r="E16" s="2" t="n"/>
      <c r="F16" s="2" t="n"/>
      <c r="G1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予算比ごとの年間損益（全月同じ予算比・粗利率は前提シートの値）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黄色の予算比を書き換えると下の行がすべて変わる。報奨金は段階表の年額。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予算比</t>
        </is>
      </c>
      <c r="B4" s="4" t="inlineStr">
        <is>
          <t>売上</t>
        </is>
      </c>
      <c r="C4" s="4" t="inlineStr">
        <is>
          <t>粗利</t>
        </is>
      </c>
      <c r="D4" s="4" t="inlineStr">
        <is>
          <t>段階</t>
        </is>
      </c>
      <c r="E4" s="4" t="inlineStr">
        <is>
          <t>報奨金（年）</t>
        </is>
      </c>
      <c r="F4" s="4" t="inlineStr">
        <is>
          <t>報奨金前 営業損益（新体制の実費）</t>
        </is>
      </c>
      <c r="G4" s="4" t="inlineStr">
        <is>
          <t>報奨金後 営業損益（新体制の実費）</t>
        </is>
      </c>
      <c r="H4" s="4" t="inlineStr">
        <is>
          <t>報奨金後 営業損益（本部費込み）</t>
        </is>
      </c>
    </row>
    <row r="5">
      <c r="A5" s="6" t="n">
        <v>0.95</v>
      </c>
      <c r="B5" s="10">
        <f>前提!$B$5*A5</f>
        <v/>
      </c>
      <c r="C5" s="10">
        <f>B5*前提!$B$6</f>
        <v/>
      </c>
      <c r="D5" s="21">
        <f>IF(A5&gt;=前提!$B$39,3,IF(A5&gt;=前提!$B$38,2,IF(A5&gt;=前提!$B$37,1,0)))</f>
        <v/>
      </c>
      <c r="E5" s="10">
        <f>IF(D5=0,0,INDEX(前提!$C$33:$E$33,1,D5))</f>
        <v/>
      </c>
      <c r="F5" s="10">
        <f>C5-B5*前提!$B$7-前提!$B$22</f>
        <v/>
      </c>
      <c r="G5" s="10">
        <f>F5-E5</f>
        <v/>
      </c>
      <c r="H5" s="10">
        <f>C5-B5*前提!$B$7-前提!$B$23-E5</f>
        <v/>
      </c>
    </row>
    <row r="6">
      <c r="A6" s="6" t="n">
        <v>1</v>
      </c>
      <c r="B6" s="10">
        <f>前提!$B$5*A6</f>
        <v/>
      </c>
      <c r="C6" s="10">
        <f>B6*前提!$B$6</f>
        <v/>
      </c>
      <c r="D6" s="21">
        <f>IF(A6&gt;=前提!$B$39,3,IF(A6&gt;=前提!$B$38,2,IF(A6&gt;=前提!$B$37,1,0)))</f>
        <v/>
      </c>
      <c r="E6" s="10">
        <f>IF(D6=0,0,INDEX(前提!$C$33:$E$33,1,D6))</f>
        <v/>
      </c>
      <c r="F6" s="10">
        <f>C6-B6*前提!$B$7-前提!$B$22</f>
        <v/>
      </c>
      <c r="G6" s="10">
        <f>F6-E6</f>
        <v/>
      </c>
      <c r="H6" s="10">
        <f>C6-B6*前提!$B$7-前提!$B$23-E6</f>
        <v/>
      </c>
    </row>
    <row r="7">
      <c r="A7" s="6" t="n">
        <v>1.05</v>
      </c>
      <c r="B7" s="10">
        <f>前提!$B$5*A7</f>
        <v/>
      </c>
      <c r="C7" s="10">
        <f>B7*前提!$B$6</f>
        <v/>
      </c>
      <c r="D7" s="21">
        <f>IF(A7&gt;=前提!$B$39,3,IF(A7&gt;=前提!$B$38,2,IF(A7&gt;=前提!$B$37,1,0)))</f>
        <v/>
      </c>
      <c r="E7" s="10">
        <f>IF(D7=0,0,INDEX(前提!$C$33:$E$33,1,D7))</f>
        <v/>
      </c>
      <c r="F7" s="10">
        <f>C7-B7*前提!$B$7-前提!$B$22</f>
        <v/>
      </c>
      <c r="G7" s="10">
        <f>F7-E7</f>
        <v/>
      </c>
      <c r="H7" s="10">
        <f>C7-B7*前提!$B$7-前提!$B$23-E7</f>
        <v/>
      </c>
    </row>
    <row r="8">
      <c r="A8" s="6" t="n">
        <v>1.1</v>
      </c>
      <c r="B8" s="10">
        <f>前提!$B$5*A8</f>
        <v/>
      </c>
      <c r="C8" s="10">
        <f>B8*前提!$B$6</f>
        <v/>
      </c>
      <c r="D8" s="21">
        <f>IF(A8&gt;=前提!$B$39,3,IF(A8&gt;=前提!$B$38,2,IF(A8&gt;=前提!$B$37,1,0)))</f>
        <v/>
      </c>
      <c r="E8" s="10">
        <f>IF(D8=0,0,INDEX(前提!$C$33:$E$33,1,D8))</f>
        <v/>
      </c>
      <c r="F8" s="10">
        <f>C8-B8*前提!$B$7-前提!$B$22</f>
        <v/>
      </c>
      <c r="G8" s="10">
        <f>F8-E8</f>
        <v/>
      </c>
      <c r="H8" s="10">
        <f>C8-B8*前提!$B$7-前提!$B$23-E8</f>
        <v/>
      </c>
    </row>
    <row r="9">
      <c r="A9" s="6" t="n">
        <v>1.15</v>
      </c>
      <c r="B9" s="10">
        <f>前提!$B$5*A9</f>
        <v/>
      </c>
      <c r="C9" s="10">
        <f>B9*前提!$B$6</f>
        <v/>
      </c>
      <c r="D9" s="21">
        <f>IF(A9&gt;=前提!$B$39,3,IF(A9&gt;=前提!$B$38,2,IF(A9&gt;=前提!$B$37,1,0)))</f>
        <v/>
      </c>
      <c r="E9" s="10">
        <f>IF(D9=0,0,INDEX(前提!$C$33:$E$33,1,D9))</f>
        <v/>
      </c>
      <c r="F9" s="10">
        <f>C9-B9*前提!$B$7-前提!$B$22</f>
        <v/>
      </c>
      <c r="G9" s="10">
        <f>F9-E9</f>
        <v/>
      </c>
      <c r="H9" s="10">
        <f>C9-B9*前提!$B$7-前提!$B$23-E9</f>
        <v/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11" t="inlineStr">
        <is>
          <t>粗利率だけ変えた場合（売上は予算どおり）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粗利率</t>
        </is>
      </c>
      <c r="B12" s="4" t="inlineStr">
        <is>
          <t>粗利</t>
        </is>
      </c>
      <c r="C12" s="4" t="inlineStr">
        <is>
          <t>報奨金前 営業損益（新体制の実費）</t>
        </is>
      </c>
      <c r="D12" s="4" t="inlineStr">
        <is>
          <t>同（本部費込み）</t>
        </is>
      </c>
      <c r="E12" s="2" t="n"/>
      <c r="F12" s="2" t="n"/>
      <c r="G12" s="2" t="n"/>
      <c r="H12" s="2" t="n"/>
    </row>
    <row r="13">
      <c r="A13" s="6" t="n">
        <v>0.31</v>
      </c>
      <c r="B13" s="10">
        <f>前提!$B$5*A13</f>
        <v/>
      </c>
      <c r="C13" s="10">
        <f>前提!$B$5*(A13-前提!$B$7)-前提!$B$22</f>
        <v/>
      </c>
      <c r="D13" s="10">
        <f>前提!$B$5*(A13-前提!$B$7)-前提!$B$23</f>
        <v/>
      </c>
      <c r="E13" s="2" t="n"/>
      <c r="F13" s="2" t="n"/>
      <c r="G13" s="2" t="n"/>
      <c r="H13" s="2" t="n"/>
    </row>
    <row r="14">
      <c r="A14" s="6" t="n">
        <v>0.33</v>
      </c>
      <c r="B14" s="10">
        <f>前提!$B$5*A14</f>
        <v/>
      </c>
      <c r="C14" s="10">
        <f>前提!$B$5*(A14-前提!$B$7)-前提!$B$22</f>
        <v/>
      </c>
      <c r="D14" s="10">
        <f>前提!$B$5*(A14-前提!$B$7)-前提!$B$23</f>
        <v/>
      </c>
      <c r="E14" s="2" t="n"/>
      <c r="F14" s="2" t="n"/>
      <c r="G14" s="2" t="n"/>
      <c r="H14" s="2" t="n"/>
    </row>
    <row r="15">
      <c r="A15" s="6" t="n">
        <v>0.345</v>
      </c>
      <c r="B15" s="10">
        <f>前提!$B$5*A15</f>
        <v/>
      </c>
      <c r="C15" s="10">
        <f>前提!$B$5*(A15-前提!$B$7)-前提!$B$22</f>
        <v/>
      </c>
      <c r="D15" s="10">
        <f>前提!$B$5*(A15-前提!$B$7)-前提!$B$23</f>
        <v/>
      </c>
      <c r="E15" s="2" t="n"/>
      <c r="F15" s="2" t="n"/>
      <c r="G15" s="2" t="n"/>
      <c r="H15" s="2" t="n"/>
    </row>
    <row r="16">
      <c r="A16" s="6" t="n">
        <v>0.35</v>
      </c>
      <c r="B16" s="10">
        <f>前提!$B$5*A16</f>
        <v/>
      </c>
      <c r="C16" s="10">
        <f>前提!$B$5*(A16-前提!$B$7)-前提!$B$22</f>
        <v/>
      </c>
      <c r="D16" s="10">
        <f>前提!$B$5*(A16-前提!$B$7)-前提!$B$23</f>
        <v/>
      </c>
      <c r="E16" s="2" t="n"/>
      <c r="F16" s="2" t="n"/>
      <c r="G16" s="2" t="n"/>
      <c r="H16" s="2" t="n"/>
    </row>
    <row r="17">
      <c r="A17" s="6" t="n">
        <v>0.36</v>
      </c>
      <c r="B17" s="10">
        <f>前提!$B$5*A17</f>
        <v/>
      </c>
      <c r="C17" s="10">
        <f>前提!$B$5*(A17-前提!$B$7)-前提!$B$22</f>
        <v/>
      </c>
      <c r="D17" s="10">
        <f>前提!$B$5*(A17-前提!$B$7)-前提!$B$23</f>
        <v/>
      </c>
      <c r="E17" s="2" t="n"/>
      <c r="F17" s="2" t="n"/>
      <c r="G17" s="2" t="n"/>
      <c r="H17" s="2" t="n"/>
    </row>
    <row r="18">
      <c r="A18" s="6" t="n">
        <v>0.37</v>
      </c>
      <c r="B18" s="10">
        <f>前提!$B$5*A18</f>
        <v/>
      </c>
      <c r="C18" s="10">
        <f>前提!$B$5*(A18-前提!$B$7)-前提!$B$22</f>
        <v/>
      </c>
      <c r="D18" s="10">
        <f>前提!$B$5*(A18-前提!$B$7)-前提!$B$23</f>
        <v/>
      </c>
      <c r="E18" s="2" t="n"/>
      <c r="F18" s="2" t="n"/>
      <c r="G18" s="2" t="n"/>
      <c r="H18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0" customWidth="1" min="6" max="6"/>
    <col width="10" customWidth="1" min="7" max="7"/>
    <col width="9" customWidth="1" min="8" max="8"/>
    <col width="7" customWidth="1" min="9" max="9"/>
    <col width="11" customWidth="1" min="10" max="10"/>
    <col width="22" customWidth="1" min="11" max="11"/>
    <col width="13" customWidth="1" min="12" max="12"/>
  </cols>
  <sheetData>
    <row r="1">
      <c r="A1" s="1" t="inlineStr">
        <is>
          <t>月別の予算と報奨金の判定（黄色に毎月のスマレジ実績を入れる・税抜）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4" t="inlineStr">
        <is>
          <t>月</t>
        </is>
      </c>
      <c r="B3" s="4" t="inlineStr">
        <is>
          <t>予算売上</t>
        </is>
      </c>
      <c r="C3" s="4" t="inlineStr">
        <is>
          <t>予算粗利</t>
        </is>
      </c>
      <c r="D3" s="4" t="inlineStr">
        <is>
          <t>実績売上</t>
        </is>
      </c>
      <c r="E3" s="4" t="inlineStr">
        <is>
          <t>実績粗利</t>
        </is>
      </c>
      <c r="F3" s="4" t="inlineStr">
        <is>
          <t>粗利 予算比</t>
        </is>
      </c>
      <c r="G3" s="4" t="inlineStr">
        <is>
          <t>売上 予算比</t>
        </is>
      </c>
      <c r="H3" s="4" t="inlineStr">
        <is>
          <t>スコア</t>
        </is>
      </c>
      <c r="I3" s="4" t="inlineStr">
        <is>
          <t>段階</t>
        </is>
      </c>
      <c r="J3" s="4" t="inlineStr">
        <is>
          <t>報奨金</t>
        </is>
      </c>
      <c r="K3" s="4" t="inlineStr">
        <is>
          <t>営業損益（新体制の実費・報奨金後）</t>
        </is>
      </c>
      <c r="L3" s="4" t="inlineStr">
        <is>
          <t>累計</t>
        </is>
      </c>
    </row>
    <row r="4">
      <c r="A4" s="3" t="inlineStr">
        <is>
          <t>2026年8月</t>
        </is>
      </c>
      <c r="B4" s="10">
        <f>前提!$B$5*3500000/60000000</f>
        <v/>
      </c>
      <c r="C4" s="10">
        <f>B4*前提!$B$6</f>
        <v/>
      </c>
      <c r="D4" s="5" t="n"/>
      <c r="E4" s="5" t="n"/>
      <c r="F4" s="12">
        <f>IF(E4="","",E4/C4)</f>
        <v/>
      </c>
      <c r="G4" s="12">
        <f>IF(D4="","",D4/B4)</f>
        <v/>
      </c>
      <c r="H4" s="12">
        <f>IF(OR(D4="",E4=""),"",F4*0.8+G4*0.2)</f>
        <v/>
      </c>
      <c r="I4" s="21">
        <f>IF(H4="","",IF(F4&lt;前提!$B$37,0,IF(H4&gt;=前提!$B$39,3,IF(H4&gt;=前提!$B$38,2,IF(H4&gt;=前提!$B$37,1,0)))))</f>
        <v/>
      </c>
      <c r="J4" s="10">
        <f>IF(OR(I4="",I4=0),0,INDEX(前提!$C$32:$E$32,1,I4))</f>
        <v/>
      </c>
      <c r="K4" s="10">
        <f>IF(E4="","",E4-D4*前提!$B$7-前提!$B$22/12-J4)</f>
        <v/>
      </c>
      <c r="L4" s="10">
        <f>IF(K4="","",SUM($K$4:K4))</f>
        <v/>
      </c>
    </row>
    <row r="5">
      <c r="A5" s="3" t="inlineStr">
        <is>
          <t>9月</t>
        </is>
      </c>
      <c r="B5" s="10">
        <f>前提!$B$5*4500000/60000000</f>
        <v/>
      </c>
      <c r="C5" s="10">
        <f>B5*前提!$B$6</f>
        <v/>
      </c>
      <c r="D5" s="5" t="n"/>
      <c r="E5" s="5" t="n"/>
      <c r="F5" s="12">
        <f>IF(E5="","",E5/C5)</f>
        <v/>
      </c>
      <c r="G5" s="12">
        <f>IF(D5="","",D5/B5)</f>
        <v/>
      </c>
      <c r="H5" s="12">
        <f>IF(OR(D5="",E5=""),"",F5*0.8+G5*0.2)</f>
        <v/>
      </c>
      <c r="I5" s="21">
        <f>IF(H5="","",IF(F5&lt;前提!$B$37,0,IF(H5&gt;=前提!$B$39,3,IF(H5&gt;=前提!$B$38,2,IF(H5&gt;=前提!$B$37,1,0)))))</f>
        <v/>
      </c>
      <c r="J5" s="10">
        <f>IF(OR(I5="",I5=0),0,INDEX(前提!$C$32:$E$32,1,I5))</f>
        <v/>
      </c>
      <c r="K5" s="10">
        <f>IF(E5="","",E5-D5*前提!$B$7-前提!$B$22/12-J5)</f>
        <v/>
      </c>
      <c r="L5" s="10">
        <f>IF(K5="","",SUM($K$4:K5))</f>
        <v/>
      </c>
    </row>
    <row r="6">
      <c r="A6" s="3" t="inlineStr">
        <is>
          <t>10月</t>
        </is>
      </c>
      <c r="B6" s="10">
        <f>前提!$B$5*5500000/60000000</f>
        <v/>
      </c>
      <c r="C6" s="10">
        <f>B6*前提!$B$6</f>
        <v/>
      </c>
      <c r="D6" s="5" t="n"/>
      <c r="E6" s="5" t="n"/>
      <c r="F6" s="12">
        <f>IF(E6="","",E6/C6)</f>
        <v/>
      </c>
      <c r="G6" s="12">
        <f>IF(D6="","",D6/B6)</f>
        <v/>
      </c>
      <c r="H6" s="12">
        <f>IF(OR(D6="",E6=""),"",F6*0.8+G6*0.2)</f>
        <v/>
      </c>
      <c r="I6" s="21">
        <f>IF(H6="","",IF(F6&lt;前提!$B$37,0,IF(H6&gt;=前提!$B$39,3,IF(H6&gt;=前提!$B$38,2,IF(H6&gt;=前提!$B$37,1,0)))))</f>
        <v/>
      </c>
      <c r="J6" s="10">
        <f>IF(OR(I6="",I6=0),0,INDEX(前提!$C$32:$E$32,1,I6))</f>
        <v/>
      </c>
      <c r="K6" s="10">
        <f>IF(E6="","",E6-D6*前提!$B$7-前提!$B$22/12-J6)</f>
        <v/>
      </c>
      <c r="L6" s="10">
        <f>IF(K6="","",SUM($K$4:K6))</f>
        <v/>
      </c>
    </row>
    <row r="7">
      <c r="A7" s="3" t="inlineStr">
        <is>
          <t>11月</t>
        </is>
      </c>
      <c r="B7" s="10">
        <f>前提!$B$5*5500000/60000000</f>
        <v/>
      </c>
      <c r="C7" s="10">
        <f>B7*前提!$B$6</f>
        <v/>
      </c>
      <c r="D7" s="5" t="n"/>
      <c r="E7" s="5" t="n"/>
      <c r="F7" s="12">
        <f>IF(E7="","",E7/C7)</f>
        <v/>
      </c>
      <c r="G7" s="12">
        <f>IF(D7="","",D7/B7)</f>
        <v/>
      </c>
      <c r="H7" s="12">
        <f>IF(OR(D7="",E7=""),"",F7*0.8+G7*0.2)</f>
        <v/>
      </c>
      <c r="I7" s="21">
        <f>IF(H7="","",IF(F7&lt;前提!$B$37,0,IF(H7&gt;=前提!$B$39,3,IF(H7&gt;=前提!$B$38,2,IF(H7&gt;=前提!$B$37,1,0)))))</f>
        <v/>
      </c>
      <c r="J7" s="10">
        <f>IF(OR(I7="",I7=0),0,INDEX(前提!$C$32:$E$32,1,I7))</f>
        <v/>
      </c>
      <c r="K7" s="10">
        <f>IF(E7="","",E7-D7*前提!$B$7-前提!$B$22/12-J7)</f>
        <v/>
      </c>
      <c r="L7" s="10">
        <f>IF(K7="","",SUM($K$4:K7))</f>
        <v/>
      </c>
    </row>
    <row r="8">
      <c r="A8" s="3" t="inlineStr">
        <is>
          <t>12月</t>
        </is>
      </c>
      <c r="B8" s="10">
        <f>前提!$B$5*7000000/60000000</f>
        <v/>
      </c>
      <c r="C8" s="10">
        <f>B8*前提!$B$6</f>
        <v/>
      </c>
      <c r="D8" s="5" t="n"/>
      <c r="E8" s="5" t="n"/>
      <c r="F8" s="12">
        <f>IF(E8="","",E8/C8)</f>
        <v/>
      </c>
      <c r="G8" s="12">
        <f>IF(D8="","",D8/B8)</f>
        <v/>
      </c>
      <c r="H8" s="12">
        <f>IF(OR(D8="",E8=""),"",F8*0.8+G8*0.2)</f>
        <v/>
      </c>
      <c r="I8" s="21">
        <f>IF(H8="","",IF(F8&lt;前提!$B$37,0,IF(H8&gt;=前提!$B$39,3,IF(H8&gt;=前提!$B$38,2,IF(H8&gt;=前提!$B$37,1,0)))))</f>
        <v/>
      </c>
      <c r="J8" s="10">
        <f>IF(OR(I8="",I8=0),0,INDEX(前提!$C$32:$E$32,1,I8))</f>
        <v/>
      </c>
      <c r="K8" s="10">
        <f>IF(E8="","",E8-D8*前提!$B$7-前提!$B$22/12-J8)</f>
        <v/>
      </c>
      <c r="L8" s="10">
        <f>IF(K8="","",SUM($K$4:K8))</f>
        <v/>
      </c>
    </row>
    <row r="9">
      <c r="A9" s="3" t="inlineStr">
        <is>
          <t>2027年1月</t>
        </is>
      </c>
      <c r="B9" s="10">
        <f>前提!$B$5*6000000/60000000</f>
        <v/>
      </c>
      <c r="C9" s="10">
        <f>B9*前提!$B$6</f>
        <v/>
      </c>
      <c r="D9" s="5" t="n"/>
      <c r="E9" s="5" t="n"/>
      <c r="F9" s="12">
        <f>IF(E9="","",E9/C9)</f>
        <v/>
      </c>
      <c r="G9" s="12">
        <f>IF(D9="","",D9/B9)</f>
        <v/>
      </c>
      <c r="H9" s="12">
        <f>IF(OR(D9="",E9=""),"",F9*0.8+G9*0.2)</f>
        <v/>
      </c>
      <c r="I9" s="21">
        <f>IF(H9="","",IF(F9&lt;前提!$B$37,0,IF(H9&gt;=前提!$B$39,3,IF(H9&gt;=前提!$B$38,2,IF(H9&gt;=前提!$B$37,1,0)))))</f>
        <v/>
      </c>
      <c r="J9" s="10">
        <f>IF(OR(I9="",I9=0),0,INDEX(前提!$C$32:$E$32,1,I9))</f>
        <v/>
      </c>
      <c r="K9" s="10">
        <f>IF(E9="","",E9-D9*前提!$B$7-前提!$B$22/12-J9)</f>
        <v/>
      </c>
      <c r="L9" s="10">
        <f>IF(K9="","",SUM($K$4:K9))</f>
        <v/>
      </c>
    </row>
    <row r="10">
      <c r="A10" s="3" t="inlineStr">
        <is>
          <t>2月</t>
        </is>
      </c>
      <c r="B10" s="10">
        <f>前提!$B$5*3500000/60000000</f>
        <v/>
      </c>
      <c r="C10" s="10">
        <f>B10*前提!$B$6</f>
        <v/>
      </c>
      <c r="D10" s="5" t="n"/>
      <c r="E10" s="5" t="n"/>
      <c r="F10" s="12">
        <f>IF(E10="","",E10/C10)</f>
        <v/>
      </c>
      <c r="G10" s="12">
        <f>IF(D10="","",D10/B10)</f>
        <v/>
      </c>
      <c r="H10" s="12">
        <f>IF(OR(D10="",E10=""),"",F10*0.8+G10*0.2)</f>
        <v/>
      </c>
      <c r="I10" s="21">
        <f>IF(H10="","",IF(F10&lt;前提!$B$37,0,IF(H10&gt;=前提!$B$39,3,IF(H10&gt;=前提!$B$38,2,IF(H10&gt;=前提!$B$37,1,0)))))</f>
        <v/>
      </c>
      <c r="J10" s="10">
        <f>IF(OR(I10="",I10=0),0,INDEX(前提!$C$32:$E$32,1,I10))</f>
        <v/>
      </c>
      <c r="K10" s="10">
        <f>IF(E10="","",E10-D10*前提!$B$7-前提!$B$22/12-J10)</f>
        <v/>
      </c>
      <c r="L10" s="10">
        <f>IF(K10="","",SUM($K$4:K10))</f>
        <v/>
      </c>
    </row>
    <row r="11">
      <c r="A11" s="3" t="inlineStr">
        <is>
          <t>3月</t>
        </is>
      </c>
      <c r="B11" s="10">
        <f>前提!$B$5*5500000/60000000</f>
        <v/>
      </c>
      <c r="C11" s="10">
        <f>B11*前提!$B$6</f>
        <v/>
      </c>
      <c r="D11" s="5" t="n"/>
      <c r="E11" s="5" t="n"/>
      <c r="F11" s="12">
        <f>IF(E11="","",E11/C11)</f>
        <v/>
      </c>
      <c r="G11" s="12">
        <f>IF(D11="","",D11/B11)</f>
        <v/>
      </c>
      <c r="H11" s="12">
        <f>IF(OR(D11="",E11=""),"",F11*0.8+G11*0.2)</f>
        <v/>
      </c>
      <c r="I11" s="21">
        <f>IF(H11="","",IF(F11&lt;前提!$B$37,0,IF(H11&gt;=前提!$B$39,3,IF(H11&gt;=前提!$B$38,2,IF(H11&gt;=前提!$B$37,1,0)))))</f>
        <v/>
      </c>
      <c r="J11" s="10">
        <f>IF(OR(I11="",I11=0),0,INDEX(前提!$C$32:$E$32,1,I11))</f>
        <v/>
      </c>
      <c r="K11" s="10">
        <f>IF(E11="","",E11-D11*前提!$B$7-前提!$B$22/12-J11)</f>
        <v/>
      </c>
      <c r="L11" s="10">
        <f>IF(K11="","",SUM($K$4:K11))</f>
        <v/>
      </c>
    </row>
    <row r="12">
      <c r="A12" s="3" t="inlineStr">
        <is>
          <t>4月</t>
        </is>
      </c>
      <c r="B12" s="10">
        <f>前提!$B$5*4500000/60000000</f>
        <v/>
      </c>
      <c r="C12" s="10">
        <f>B12*前提!$B$6</f>
        <v/>
      </c>
      <c r="D12" s="5" t="n"/>
      <c r="E12" s="5" t="n"/>
      <c r="F12" s="12">
        <f>IF(E12="","",E12/C12)</f>
        <v/>
      </c>
      <c r="G12" s="12">
        <f>IF(D12="","",D12/B12)</f>
        <v/>
      </c>
      <c r="H12" s="12">
        <f>IF(OR(D12="",E12=""),"",F12*0.8+G12*0.2)</f>
        <v/>
      </c>
      <c r="I12" s="21">
        <f>IF(H12="","",IF(F12&lt;前提!$B$37,0,IF(H12&gt;=前提!$B$39,3,IF(H12&gt;=前提!$B$38,2,IF(H12&gt;=前提!$B$37,1,0)))))</f>
        <v/>
      </c>
      <c r="J12" s="10">
        <f>IF(OR(I12="",I12=0),0,INDEX(前提!$C$32:$E$32,1,I12))</f>
        <v/>
      </c>
      <c r="K12" s="10">
        <f>IF(E12="","",E12-D12*前提!$B$7-前提!$B$22/12-J12)</f>
        <v/>
      </c>
      <c r="L12" s="10">
        <f>IF(K12="","",SUM($K$4:K12))</f>
        <v/>
      </c>
    </row>
    <row r="13">
      <c r="A13" s="3" t="inlineStr">
        <is>
          <t>5月</t>
        </is>
      </c>
      <c r="B13" s="10">
        <f>前提!$B$5*4500000/60000000</f>
        <v/>
      </c>
      <c r="C13" s="10">
        <f>B13*前提!$B$6</f>
        <v/>
      </c>
      <c r="D13" s="5" t="n"/>
      <c r="E13" s="5" t="n"/>
      <c r="F13" s="12">
        <f>IF(E13="","",E13/C13)</f>
        <v/>
      </c>
      <c r="G13" s="12">
        <f>IF(D13="","",D13/B13)</f>
        <v/>
      </c>
      <c r="H13" s="12">
        <f>IF(OR(D13="",E13=""),"",F13*0.8+G13*0.2)</f>
        <v/>
      </c>
      <c r="I13" s="21">
        <f>IF(H13="","",IF(F13&lt;前提!$B$37,0,IF(H13&gt;=前提!$B$39,3,IF(H13&gt;=前提!$B$38,2,IF(H13&gt;=前提!$B$37,1,0)))))</f>
        <v/>
      </c>
      <c r="J13" s="10">
        <f>IF(OR(I13="",I13=0),0,INDEX(前提!$C$32:$E$32,1,I13))</f>
        <v/>
      </c>
      <c r="K13" s="10">
        <f>IF(E13="","",E13-D13*前提!$B$7-前提!$B$22/12-J13)</f>
        <v/>
      </c>
      <c r="L13" s="10">
        <f>IF(K13="","",SUM($K$4:K13))</f>
        <v/>
      </c>
    </row>
    <row r="14">
      <c r="A14" s="3" t="inlineStr">
        <is>
          <t>6月</t>
        </is>
      </c>
      <c r="B14" s="10">
        <f>前提!$B$5*5500000/60000000</f>
        <v/>
      </c>
      <c r="C14" s="10">
        <f>B14*前提!$B$6</f>
        <v/>
      </c>
      <c r="D14" s="5" t="n"/>
      <c r="E14" s="5" t="n"/>
      <c r="F14" s="12">
        <f>IF(E14="","",E14/C14)</f>
        <v/>
      </c>
      <c r="G14" s="12">
        <f>IF(D14="","",D14/B14)</f>
        <v/>
      </c>
      <c r="H14" s="12">
        <f>IF(OR(D14="",E14=""),"",F14*0.8+G14*0.2)</f>
        <v/>
      </c>
      <c r="I14" s="21">
        <f>IF(H14="","",IF(F14&lt;前提!$B$37,0,IF(H14&gt;=前提!$B$39,3,IF(H14&gt;=前提!$B$38,2,IF(H14&gt;=前提!$B$37,1,0)))))</f>
        <v/>
      </c>
      <c r="J14" s="10">
        <f>IF(OR(I14="",I14=0),0,INDEX(前提!$C$32:$E$32,1,I14))</f>
        <v/>
      </c>
      <c r="K14" s="10">
        <f>IF(E14="","",E14-D14*前提!$B$7-前提!$B$22/12-J14)</f>
        <v/>
      </c>
      <c r="L14" s="10">
        <f>IF(K14="","",SUM($K$4:K14))</f>
        <v/>
      </c>
    </row>
    <row r="15">
      <c r="A15" s="3" t="inlineStr">
        <is>
          <t>7月</t>
        </is>
      </c>
      <c r="B15" s="10">
        <f>前提!$B$5*4500000/60000000</f>
        <v/>
      </c>
      <c r="C15" s="10">
        <f>B15*前提!$B$6</f>
        <v/>
      </c>
      <c r="D15" s="5" t="n"/>
      <c r="E15" s="5" t="n"/>
      <c r="F15" s="12">
        <f>IF(E15="","",E15/C15)</f>
        <v/>
      </c>
      <c r="G15" s="12">
        <f>IF(D15="","",D15/B15)</f>
        <v/>
      </c>
      <c r="H15" s="12">
        <f>IF(OR(D15="",E15=""),"",F15*0.8+G15*0.2)</f>
        <v/>
      </c>
      <c r="I15" s="21">
        <f>IF(H15="","",IF(F15&lt;前提!$B$37,0,IF(H15&gt;=前提!$B$39,3,IF(H15&gt;=前提!$B$38,2,IF(H15&gt;=前提!$B$37,1,0)))))</f>
        <v/>
      </c>
      <c r="J15" s="10">
        <f>IF(OR(I15="",I15=0),0,INDEX(前提!$C$32:$E$32,1,I15))</f>
        <v/>
      </c>
      <c r="K15" s="10">
        <f>IF(E15="","",E15-D15*前提!$B$7-前提!$B$22/12-J15)</f>
        <v/>
      </c>
      <c r="L15" s="10">
        <f>IF(K15="","",SUM($K$4:K15))</f>
        <v/>
      </c>
    </row>
    <row r="16">
      <c r="A16" s="11" t="inlineStr">
        <is>
          <t>年計</t>
        </is>
      </c>
      <c r="B16" s="14">
        <f>SUM(B4:B15)</f>
        <v/>
      </c>
      <c r="C16" s="14">
        <f>SUM(C4:C15)</f>
        <v/>
      </c>
      <c r="D16" s="14">
        <f>SUM(D4:D15)</f>
        <v/>
      </c>
      <c r="E16" s="14">
        <f>SUM(E4:E15)</f>
        <v/>
      </c>
      <c r="F16" s="2" t="n"/>
      <c r="G16" s="2" t="n"/>
      <c r="H16" s="2" t="n"/>
      <c r="I16" s="2" t="n"/>
      <c r="J16" s="14">
        <f>SUM(J4:J15)</f>
        <v/>
      </c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3" t="inlineStr">
        <is>
          <t>月の予算はスマレジの月別予算（8月350万・12月700万など）。前提シートの年間予算を変えると同じ比率で配分し直す。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3" t="inlineStr">
        <is>
          <t>例：8月に実績売上3,600,000・実績粗利1,300,000を入れると、粗利予算比106.1%・スコア105.5%で第2段階になる。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10/2 予算会議の論点</t>
        </is>
      </c>
      <c r="B1" s="2" t="n"/>
    </row>
    <row r="2">
      <c r="A2" s="2" t="n"/>
      <c r="B2" s="2" t="n"/>
    </row>
    <row r="3" ht="48" customHeight="1">
      <c r="A3" s="11" t="inlineStr">
        <is>
          <t>結論</t>
        </is>
      </c>
      <c r="B3" s="22" t="inlineStr">
        <is>
          <t>予算（税抜6,000万円・粗利2,100万円）は、新体制の損益分岐（5,896万円）を2%上回るだけ。予算100%で報奨金を払うと店舗の実費はちょうどトントン（+0.5万円）、110%で本部費込みでも黒字（+40万円）。</t>
        </is>
      </c>
    </row>
    <row r="4" ht="48" customHeight="1">
      <c r="A4" s="11" t="inlineStr">
        <is>
          <t>最大の前提</t>
        </is>
      </c>
      <c r="B4" s="22" t="inlineStr">
        <is>
          <t>粗利率35%。34.5%を切ると予算どおりでも赤字。前年並み31%なら−211万円。売上より粗利率が勝負。</t>
        </is>
      </c>
    </row>
    <row r="5" ht="48" customHeight="1">
      <c r="A5" s="11" t="inlineStr">
        <is>
          <t>人件費</t>
        </is>
      </c>
      <c r="B5" s="22" t="inlineStr">
        <is>
          <t>年960万円（月80万円）で計上。前年実額809万円から年151万円増。回収には粗利率35%で売上約537万円の上積みが必要。</t>
        </is>
      </c>
    </row>
    <row r="6" ht="48" customHeight="1">
      <c r="A6" s="11" t="inlineStr">
        <is>
          <t>本部費</t>
        </is>
      </c>
      <c r="B6" s="22" t="inlineStr">
        <is>
          <t>管理会計の共通費 月15.8万円（年189.6万円）。人員割の固定額で、店の努力では減らない。</t>
        </is>
      </c>
    </row>
    <row r="7" ht="48" customHeight="1">
      <c r="A7" s="11" t="inlineStr">
        <is>
          <t>報奨金の設計</t>
        </is>
      </c>
      <c r="B7" s="22" t="inlineStr">
        <is>
          <t>粗利額80%＋売上20%のスコア、単月判定、粗利額が予算未達なら0円。段階は予算比100/105/110%。支払いは夏冬の賞与にまとめる案（社保・扶養の確認）。</t>
        </is>
      </c>
    </row>
    <row r="8" ht="48" customHeight="1">
      <c r="A8" s="11" t="inlineStr">
        <is>
          <t>決めること</t>
        </is>
      </c>
      <c r="B8" s="22" t="inlineStr">
        <is>
          <t>①予算6,000万円・粗利率35%で確定か ②報奨金の支給開始を予算100%に置くか ③金額表と対象人数 ④支払い方法 ⑤処分品とECの扱い ⑥値下げの決裁範囲</t>
        </is>
      </c>
    </row>
    <row r="9" ht="48" customHeight="1">
      <c r="A9" s="11" t="inlineStr">
        <is>
          <t>要確認</t>
        </is>
      </c>
      <c r="B9" s="22" t="inlineStr">
        <is>
          <t>管理諸費（11月398,379円）と租税公課（3月・7月）の中身を発展会計の元帳で確認。法定福利の料率（15.5%は仮置き）。8月・9月の実績。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2026-10-01T07:32:59Z</dcterms:created>
  <dcterms:modified xsi:type="dcterms:W3CDTF">2026-10-01T07:32:59Z</dcterms:modified>
</cp:coreProperties>
</file>