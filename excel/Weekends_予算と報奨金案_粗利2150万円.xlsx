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目標設定" sheetId="1" state="visible" r:id="rId1"/>
    <sheet name="入力" sheetId="2" state="visible" r:id="rId2"/>
    <sheet name="年間損益" sheetId="3" state="visible" r:id="rId3"/>
    <sheet name="達成度別" sheetId="4" state="visible" r:id="rId4"/>
    <sheet name="粗利率別" sheetId="5" state="visible" r:id="rId5"/>
    <sheet name="月別目標と営業利益" sheetId="6" state="visible" r:id="rId6"/>
    <sheet name="月別（スマレジ版）" sheetId="7" state="visible" r:id="rId7"/>
    <sheet name="報奨金（例B）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-#,##0;-"/>
    <numFmt numFmtId="165" formatCode="0.0%"/>
  </numFmts>
  <fonts count="6">
    <font>
      <name val="Calibri"/>
      <family val="2"/>
      <color theme="1"/>
      <sz val="11"/>
      <scheme val="minor"/>
    </font>
    <font>
      <name val="Meiryo UI"/>
      <b val="1"/>
      <sz val="14"/>
    </font>
    <font>
      <name val="Meiryo UI"/>
    </font>
    <font>
      <name val="Meiryo UI"/>
      <b val="1"/>
      <color rgb="00FFFFFF"/>
    </font>
    <font>
      <name val="Meiryo UI"/>
      <color rgb="000000FF"/>
    </font>
    <font>
      <name val="Meiryo UI"/>
      <b val="1"/>
    </font>
  </fonts>
  <fills count="5">
    <fill>
      <patternFill/>
    </fill>
    <fill>
      <patternFill patternType="gray125"/>
    </fill>
    <fill>
      <patternFill patternType="solid">
        <fgColor rgb="00073F5F"/>
      </patternFill>
    </fill>
    <fill>
      <patternFill patternType="solid">
        <fgColor rgb="00FFFF00"/>
      </patternFill>
    </fill>
    <fill>
      <patternFill patternType="solid">
        <fgColor rgb="00E3EE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1" fontId="4" fillId="3" borderId="0" pivotButton="0" quotePrefix="0" xfId="0"/>
    <xf numFmtId="0" fontId="3" fillId="2" borderId="0" applyAlignment="1" pivotButton="0" quotePrefix="0" xfId="0">
      <alignment horizontal="center" vertical="center" wrapText="1"/>
    </xf>
    <xf numFmtId="1" fontId="4" fillId="0" borderId="0" pivotButton="0" quotePrefix="0" xfId="0"/>
    <xf numFmtId="164" fontId="5" fillId="4" borderId="0" pivotButton="0" quotePrefix="0" xfId="0"/>
    <xf numFmtId="164" fontId="2" fillId="0" borderId="0" pivotButton="0" quotePrefix="0" xfId="0"/>
    <xf numFmtId="1" fontId="5" fillId="0" borderId="0" pivotButton="0" quotePrefix="0" xfId="0"/>
    <xf numFmtId="164" fontId="5" fillId="0" borderId="0" pivotButton="0" quotePrefix="0" xfId="0"/>
    <xf numFmtId="1" fontId="2" fillId="0" borderId="0" pivotButton="0" quotePrefix="0" xfId="0"/>
    <xf numFmtId="164" fontId="4" fillId="3" borderId="0" pivotButton="0" quotePrefix="0" xfId="0"/>
    <xf numFmtId="165" fontId="4" fillId="0" borderId="0" pivotButton="0" quotePrefix="0" xfId="0"/>
    <xf numFmtId="164" fontId="4" fillId="0" borderId="0" pivotButton="0" quotePrefix="0" xfId="0"/>
    <xf numFmtId="165" fontId="4" fillId="3" borderId="0" pivotButton="0" quotePrefix="0" xfId="0"/>
    <xf numFmtId="165" fontId="2" fillId="0" borderId="0" pivotButton="0" quotePrefix="0" xfId="0"/>
    <xf numFmtId="0" fontId="5" fillId="4" borderId="0" pivotButton="0" quotePrefix="0" xfId="0"/>
    <xf numFmtId="9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達成度別の営業利益（報奨金後）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'達成度別'!E3</f>
            </strRef>
          </tx>
          <spPr>
            <a:ln>
              <a:prstDash val="solid"/>
            </a:ln>
          </spPr>
          <cat>
            <numRef>
              <f>'達成度別'!$A$4:$A$9</f>
            </numRef>
          </cat>
          <val>
            <numRef>
              <f>'達成度別'!$E$4:$E$9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円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月別　営業利益（100%達成時）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'月別目標と営業利益'!H5</f>
            </strRef>
          </tx>
          <spPr>
            <a:ln>
              <a:prstDash val="solid"/>
            </a:ln>
          </spPr>
          <cat>
            <numRef>
              <f>'月別目標と営業利益'!$A$6:$A$17</f>
            </numRef>
          </cat>
          <val>
            <numRef>
              <f>'月別目標と営業利益'!$H$6:$H$17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'月別目標と営業利益'!I5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'月別目標と営業利益'!$I$6:$I$17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月別（スマレジ版）　営業利益（100%達成時）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'月別（スマレジ版）'!H5</f>
            </strRef>
          </tx>
          <spPr>
            <a:ln>
              <a:prstDash val="solid"/>
            </a:ln>
          </spPr>
          <cat>
            <numRef>
              <f>'月別（スマレジ版）'!$A$6:$A$17</f>
            </numRef>
          </cat>
          <val>
            <numRef>
              <f>'月別（スマレジ版）'!$H$6:$H$17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'月別（スマレジ版）'!I5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'月別（スマレジ版）'!$I$6:$I$17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Weekends 2027年度 月別目標（売上6,300万円・粗利2,150万円・税抜）</t>
        </is>
      </c>
    </row>
    <row r="2">
      <c r="A2" s="2" t="inlineStr">
        <is>
          <t>金額はすべて税抜。判定はスマレジの粗利（税抜）で毎月行う。</t>
        </is>
      </c>
    </row>
    <row r="3">
      <c r="A3" s="3" t="inlineStr">
        <is>
          <t>目標の配分</t>
        </is>
      </c>
      <c r="B3" s="4" t="n">
        <v>1</v>
      </c>
      <c r="C3" s="2" t="inlineStr">
        <is>
          <t>1＝スマレジ版（店長が登録した予算の月比率・おすすめ）　2＝構成比版（前年の売上構成比）</t>
        </is>
      </c>
    </row>
    <row r="5" ht="32" customHeight="1">
      <c r="A5" s="5" t="inlineStr">
        <is>
          <t>月</t>
        </is>
      </c>
      <c r="B5" s="5" t="inlineStr">
        <is>
          <t>日数</t>
        </is>
      </c>
      <c r="C5" s="5" t="inlineStr">
        <is>
          <t>粗利目標（100%）</t>
        </is>
      </c>
      <c r="D5" s="5" t="inlineStr">
        <is>
          <t>粗利目標（105%）</t>
        </is>
      </c>
      <c r="E5" s="5" t="inlineStr">
        <is>
          <t>売上目標</t>
        </is>
      </c>
      <c r="F5" s="5" t="inlineStr">
        <is>
          <t>1日あたり粗利目標</t>
        </is>
      </c>
      <c r="G5" s="5" t="inlineStr">
        <is>
          <t>1日あたり売上目標</t>
        </is>
      </c>
      <c r="H5" s="5" t="inlineStr">
        <is>
          <t>報奨金 第1段階（店舗計）</t>
        </is>
      </c>
      <c r="I5" s="5" t="inlineStr">
        <is>
          <t>報奨金 第2段階（店舗計）</t>
        </is>
      </c>
    </row>
    <row r="6">
      <c r="A6" s="3" t="inlineStr">
        <is>
          <t>8月</t>
        </is>
      </c>
      <c r="B6" s="6" t="n">
        <v>31</v>
      </c>
      <c r="C6" s="7">
        <f>CHOOSE($B$3,'月別（スマレジ版）'!F6,'月別目標と営業利益'!F6)</f>
        <v/>
      </c>
      <c r="D6" s="8">
        <f>CHOOSE($B$3,'月別（スマレジ版）'!G6,'月別目標と営業利益'!G6)</f>
        <v/>
      </c>
      <c r="E6" s="8">
        <f>CHOOSE($B$3,'月別（スマレジ版）'!D6,'月別目標と営業利益'!D6)</f>
        <v/>
      </c>
      <c r="F6" s="8">
        <f>ROUND(C6/B6,-3)</f>
        <v/>
      </c>
      <c r="G6" s="8">
        <f>ROUND(E6/B6,-3)</f>
        <v/>
      </c>
      <c r="H6" s="8">
        <f>入力!$B$14</f>
        <v/>
      </c>
      <c r="I6" s="8">
        <f>入力!$B$15</f>
        <v/>
      </c>
    </row>
    <row r="7">
      <c r="A7" s="3" t="inlineStr">
        <is>
          <t>9月</t>
        </is>
      </c>
      <c r="B7" s="6" t="n">
        <v>30</v>
      </c>
      <c r="C7" s="7">
        <f>CHOOSE($B$3,'月別（スマレジ版）'!F7,'月別目標と営業利益'!F7)</f>
        <v/>
      </c>
      <c r="D7" s="8">
        <f>CHOOSE($B$3,'月別（スマレジ版）'!G7,'月別目標と営業利益'!G7)</f>
        <v/>
      </c>
      <c r="E7" s="8">
        <f>CHOOSE($B$3,'月別（スマレジ版）'!D7,'月別目標と営業利益'!D7)</f>
        <v/>
      </c>
      <c r="F7" s="8">
        <f>ROUND(C7/B7,-3)</f>
        <v/>
      </c>
      <c r="G7" s="8">
        <f>ROUND(E7/B7,-3)</f>
        <v/>
      </c>
      <c r="H7" s="8">
        <f>入力!$B$14</f>
        <v/>
      </c>
      <c r="I7" s="8">
        <f>入力!$B$15</f>
        <v/>
      </c>
    </row>
    <row r="8">
      <c r="A8" s="3" t="inlineStr">
        <is>
          <t>10月</t>
        </is>
      </c>
      <c r="B8" s="6" t="n">
        <v>31</v>
      </c>
      <c r="C8" s="7">
        <f>CHOOSE($B$3,'月別（スマレジ版）'!F8,'月別目標と営業利益'!F8)</f>
        <v/>
      </c>
      <c r="D8" s="8">
        <f>CHOOSE($B$3,'月別（スマレジ版）'!G8,'月別目標と営業利益'!G8)</f>
        <v/>
      </c>
      <c r="E8" s="8">
        <f>CHOOSE($B$3,'月別（スマレジ版）'!D8,'月別目標と営業利益'!D8)</f>
        <v/>
      </c>
      <c r="F8" s="8">
        <f>ROUND(C8/B8,-3)</f>
        <v/>
      </c>
      <c r="G8" s="8">
        <f>ROUND(E8/B8,-3)</f>
        <v/>
      </c>
      <c r="H8" s="8">
        <f>入力!$B$14</f>
        <v/>
      </c>
      <c r="I8" s="8">
        <f>入力!$B$15</f>
        <v/>
      </c>
    </row>
    <row r="9">
      <c r="A9" s="3" t="inlineStr">
        <is>
          <t>11月</t>
        </is>
      </c>
      <c r="B9" s="6" t="n">
        <v>30</v>
      </c>
      <c r="C9" s="7">
        <f>CHOOSE($B$3,'月別（スマレジ版）'!F9,'月別目標と営業利益'!F9)</f>
        <v/>
      </c>
      <c r="D9" s="8">
        <f>CHOOSE($B$3,'月別（スマレジ版）'!G9,'月別目標と営業利益'!G9)</f>
        <v/>
      </c>
      <c r="E9" s="8">
        <f>CHOOSE($B$3,'月別（スマレジ版）'!D9,'月別目標と営業利益'!D9)</f>
        <v/>
      </c>
      <c r="F9" s="8">
        <f>ROUND(C9/B9,-3)</f>
        <v/>
      </c>
      <c r="G9" s="8">
        <f>ROUND(E9/B9,-3)</f>
        <v/>
      </c>
      <c r="H9" s="8">
        <f>入力!$B$14</f>
        <v/>
      </c>
      <c r="I9" s="8">
        <f>入力!$B$15</f>
        <v/>
      </c>
    </row>
    <row r="10">
      <c r="A10" s="3" t="inlineStr">
        <is>
          <t>12月</t>
        </is>
      </c>
      <c r="B10" s="6" t="n">
        <v>31</v>
      </c>
      <c r="C10" s="7">
        <f>CHOOSE($B$3,'月別（スマレジ版）'!F10,'月別目標と営業利益'!F10)</f>
        <v/>
      </c>
      <c r="D10" s="8">
        <f>CHOOSE($B$3,'月別（スマレジ版）'!G10,'月別目標と営業利益'!G10)</f>
        <v/>
      </c>
      <c r="E10" s="8">
        <f>CHOOSE($B$3,'月別（スマレジ版）'!D10,'月別目標と営業利益'!D10)</f>
        <v/>
      </c>
      <c r="F10" s="8">
        <f>ROUND(C10/B10,-3)</f>
        <v/>
      </c>
      <c r="G10" s="8">
        <f>ROUND(E10/B10,-3)</f>
        <v/>
      </c>
      <c r="H10" s="8">
        <f>入力!$B$14</f>
        <v/>
      </c>
      <c r="I10" s="8">
        <f>入力!$B$15</f>
        <v/>
      </c>
    </row>
    <row r="11">
      <c r="A11" s="3" t="inlineStr">
        <is>
          <t>1月</t>
        </is>
      </c>
      <c r="B11" s="6" t="n">
        <v>31</v>
      </c>
      <c r="C11" s="7">
        <f>CHOOSE($B$3,'月別（スマレジ版）'!F11,'月別目標と営業利益'!F11)</f>
        <v/>
      </c>
      <c r="D11" s="8">
        <f>CHOOSE($B$3,'月別（スマレジ版）'!G11,'月別目標と営業利益'!G11)</f>
        <v/>
      </c>
      <c r="E11" s="8">
        <f>CHOOSE($B$3,'月別（スマレジ版）'!D11,'月別目標と営業利益'!D11)</f>
        <v/>
      </c>
      <c r="F11" s="8">
        <f>ROUND(C11/B11,-3)</f>
        <v/>
      </c>
      <c r="G11" s="8">
        <f>ROUND(E11/B11,-3)</f>
        <v/>
      </c>
      <c r="H11" s="8">
        <f>入力!$B$14</f>
        <v/>
      </c>
      <c r="I11" s="8">
        <f>入力!$B$15</f>
        <v/>
      </c>
    </row>
    <row r="12">
      <c r="A12" s="3" t="inlineStr">
        <is>
          <t>2月</t>
        </is>
      </c>
      <c r="B12" s="6" t="n">
        <v>28</v>
      </c>
      <c r="C12" s="7">
        <f>CHOOSE($B$3,'月別（スマレジ版）'!F12,'月別目標と営業利益'!F12)</f>
        <v/>
      </c>
      <c r="D12" s="8">
        <f>CHOOSE($B$3,'月別（スマレジ版）'!G12,'月別目標と営業利益'!G12)</f>
        <v/>
      </c>
      <c r="E12" s="8">
        <f>CHOOSE($B$3,'月別（スマレジ版）'!D12,'月別目標と営業利益'!D12)</f>
        <v/>
      </c>
      <c r="F12" s="8">
        <f>ROUND(C12/B12,-3)</f>
        <v/>
      </c>
      <c r="G12" s="8">
        <f>ROUND(E12/B12,-3)</f>
        <v/>
      </c>
      <c r="H12" s="8">
        <f>入力!$B$14</f>
        <v/>
      </c>
      <c r="I12" s="8">
        <f>入力!$B$15</f>
        <v/>
      </c>
    </row>
    <row r="13">
      <c r="A13" s="3" t="inlineStr">
        <is>
          <t>3月</t>
        </is>
      </c>
      <c r="B13" s="6" t="n">
        <v>31</v>
      </c>
      <c r="C13" s="7">
        <f>CHOOSE($B$3,'月別（スマレジ版）'!F13,'月別目標と営業利益'!F13)</f>
        <v/>
      </c>
      <c r="D13" s="8">
        <f>CHOOSE($B$3,'月別（スマレジ版）'!G13,'月別目標と営業利益'!G13)</f>
        <v/>
      </c>
      <c r="E13" s="8">
        <f>CHOOSE($B$3,'月別（スマレジ版）'!D13,'月別目標と営業利益'!D13)</f>
        <v/>
      </c>
      <c r="F13" s="8">
        <f>ROUND(C13/B13,-3)</f>
        <v/>
      </c>
      <c r="G13" s="8">
        <f>ROUND(E13/B13,-3)</f>
        <v/>
      </c>
      <c r="H13" s="8">
        <f>入力!$B$14</f>
        <v/>
      </c>
      <c r="I13" s="8">
        <f>入力!$B$15</f>
        <v/>
      </c>
    </row>
    <row r="14">
      <c r="A14" s="3" t="inlineStr">
        <is>
          <t>4月</t>
        </is>
      </c>
      <c r="B14" s="6" t="n">
        <v>30</v>
      </c>
      <c r="C14" s="7">
        <f>CHOOSE($B$3,'月別（スマレジ版）'!F14,'月別目標と営業利益'!F14)</f>
        <v/>
      </c>
      <c r="D14" s="8">
        <f>CHOOSE($B$3,'月別（スマレジ版）'!G14,'月別目標と営業利益'!G14)</f>
        <v/>
      </c>
      <c r="E14" s="8">
        <f>CHOOSE($B$3,'月別（スマレジ版）'!D14,'月別目標と営業利益'!D14)</f>
        <v/>
      </c>
      <c r="F14" s="8">
        <f>ROUND(C14/B14,-3)</f>
        <v/>
      </c>
      <c r="G14" s="8">
        <f>ROUND(E14/B14,-3)</f>
        <v/>
      </c>
      <c r="H14" s="8">
        <f>入力!$B$14</f>
        <v/>
      </c>
      <c r="I14" s="8">
        <f>入力!$B$15</f>
        <v/>
      </c>
    </row>
    <row r="15">
      <c r="A15" s="3" t="inlineStr">
        <is>
          <t>5月</t>
        </is>
      </c>
      <c r="B15" s="6" t="n">
        <v>31</v>
      </c>
      <c r="C15" s="7">
        <f>CHOOSE($B$3,'月別（スマレジ版）'!F15,'月別目標と営業利益'!F15)</f>
        <v/>
      </c>
      <c r="D15" s="8">
        <f>CHOOSE($B$3,'月別（スマレジ版）'!G15,'月別目標と営業利益'!G15)</f>
        <v/>
      </c>
      <c r="E15" s="8">
        <f>CHOOSE($B$3,'月別（スマレジ版）'!D15,'月別目標と営業利益'!D15)</f>
        <v/>
      </c>
      <c r="F15" s="8">
        <f>ROUND(C15/B15,-3)</f>
        <v/>
      </c>
      <c r="G15" s="8">
        <f>ROUND(E15/B15,-3)</f>
        <v/>
      </c>
      <c r="H15" s="8">
        <f>入力!$B$14</f>
        <v/>
      </c>
      <c r="I15" s="8">
        <f>入力!$B$15</f>
        <v/>
      </c>
    </row>
    <row r="16">
      <c r="A16" s="3" t="inlineStr">
        <is>
          <t>6月</t>
        </is>
      </c>
      <c r="B16" s="6" t="n">
        <v>30</v>
      </c>
      <c r="C16" s="7">
        <f>CHOOSE($B$3,'月別（スマレジ版）'!F16,'月別目標と営業利益'!F16)</f>
        <v/>
      </c>
      <c r="D16" s="8">
        <f>CHOOSE($B$3,'月別（スマレジ版）'!G16,'月別目標と営業利益'!G16)</f>
        <v/>
      </c>
      <c r="E16" s="8">
        <f>CHOOSE($B$3,'月別（スマレジ版）'!D16,'月別目標と営業利益'!D16)</f>
        <v/>
      </c>
      <c r="F16" s="8">
        <f>ROUND(C16/B16,-3)</f>
        <v/>
      </c>
      <c r="G16" s="8">
        <f>ROUND(E16/B16,-3)</f>
        <v/>
      </c>
      <c r="H16" s="8">
        <f>入力!$B$14</f>
        <v/>
      </c>
      <c r="I16" s="8">
        <f>入力!$B$15</f>
        <v/>
      </c>
    </row>
    <row r="17">
      <c r="A17" s="3" t="inlineStr">
        <is>
          <t>7月</t>
        </is>
      </c>
      <c r="B17" s="6" t="n">
        <v>31</v>
      </c>
      <c r="C17" s="7">
        <f>CHOOSE($B$3,'月別（スマレジ版）'!F17,'月別目標と営業利益'!F17)</f>
        <v/>
      </c>
      <c r="D17" s="8">
        <f>CHOOSE($B$3,'月別（スマレジ版）'!G17,'月別目標と営業利益'!G17)</f>
        <v/>
      </c>
      <c r="E17" s="8">
        <f>CHOOSE($B$3,'月別（スマレジ版）'!D17,'月別目標と営業利益'!D17)</f>
        <v/>
      </c>
      <c r="F17" s="8">
        <f>ROUND(C17/B17,-3)</f>
        <v/>
      </c>
      <c r="G17" s="8">
        <f>ROUND(E17/B17,-3)</f>
        <v/>
      </c>
      <c r="H17" s="8">
        <f>入力!$B$14</f>
        <v/>
      </c>
      <c r="I17" s="8">
        <f>入力!$B$15</f>
        <v/>
      </c>
    </row>
    <row r="18">
      <c r="A18" s="3" t="inlineStr">
        <is>
          <t>年計</t>
        </is>
      </c>
      <c r="B18" s="9">
        <f>SUM(B6:B17)</f>
        <v/>
      </c>
      <c r="C18" s="10">
        <f>SUM(C6:C17)</f>
        <v/>
      </c>
      <c r="D18" s="10">
        <f>SUM(D6:D17)</f>
        <v/>
      </c>
      <c r="E18" s="10">
        <f>SUM(E6:E17)</f>
        <v/>
      </c>
      <c r="H18" s="10">
        <f>SUM(H6:H17)</f>
        <v/>
      </c>
      <c r="I18" s="10">
        <f>SUM(I6:I17)</f>
        <v/>
      </c>
    </row>
    <row r="19">
      <c r="A19" s="2" t="inlineStr">
        <is>
          <t>年間目標との差</t>
        </is>
      </c>
      <c r="C19" s="8">
        <f>C18-入力!B5</f>
        <v/>
      </c>
      <c r="E19" s="8">
        <f>E18-入力!B19</f>
        <v/>
      </c>
    </row>
    <row r="21">
      <c r="A21" s="3" t="inlineStr">
        <is>
          <t>1人あたりの報奨金（月額）</t>
        </is>
      </c>
    </row>
    <row r="22" ht="32" customHeight="1">
      <c r="A22" s="5" t="inlineStr">
        <is>
          <t>区分</t>
        </is>
      </c>
      <c r="B22" s="5" t="inlineStr">
        <is>
          <t>人数</t>
        </is>
      </c>
      <c r="C22" s="5" t="inlineStr">
        <is>
          <t>第1段階（100%以上）</t>
        </is>
      </c>
      <c r="D22" s="5" t="inlineStr">
        <is>
          <t>第2段階（105%以上）</t>
        </is>
      </c>
    </row>
    <row r="23">
      <c r="A23" s="2">
        <f>'報奨金（例B）'!A5</f>
        <v/>
      </c>
      <c r="B23" s="11">
        <f>'報奨金（例B）'!B5</f>
        <v/>
      </c>
      <c r="C23" s="8">
        <f>'報奨金（例B）'!D5</f>
        <v/>
      </c>
      <c r="D23" s="8">
        <f>'報奨金（例B）'!E5</f>
        <v/>
      </c>
    </row>
    <row r="24">
      <c r="A24" s="2">
        <f>'報奨金（例B）'!A6</f>
        <v/>
      </c>
      <c r="B24" s="11">
        <f>'報奨金（例B）'!B6</f>
        <v/>
      </c>
      <c r="C24" s="8">
        <f>'報奨金（例B）'!D6</f>
        <v/>
      </c>
      <c r="D24" s="8">
        <f>'報奨金（例B）'!E6</f>
        <v/>
      </c>
    </row>
    <row r="25">
      <c r="A25" s="2">
        <f>'報奨金（例B）'!A7</f>
        <v/>
      </c>
      <c r="B25" s="11">
        <f>'報奨金（例B）'!B7</f>
        <v/>
      </c>
      <c r="C25" s="8">
        <f>'報奨金（例B）'!D7</f>
        <v/>
      </c>
      <c r="D25" s="8">
        <f>'報奨金（例B）'!E7</f>
        <v/>
      </c>
    </row>
    <row r="27">
      <c r="A27" s="3" t="inlineStr">
        <is>
          <t>ルール</t>
        </is>
      </c>
    </row>
    <row r="28">
      <c r="A28" s="2" t="inlineStr">
        <is>
          <t>・その月の粗利（スマレジ・税抜）が「粗利目標（100%）」以上で第1段階、「粗利目標（105%）」以上で第2段階。売上目標は判定に使わない（目安）。</t>
        </is>
      </c>
    </row>
    <row r="29">
      <c r="A29" s="2" t="inlineStr">
        <is>
          <t>・判定は粗利額だけ。値引きで売上を作っても報奨金は出ない。処分品は粗利の計算から除く。</t>
        </is>
      </c>
    </row>
    <row r="30">
      <c r="A30" s="2" t="inlineStr">
        <is>
          <t>・判定は毎月、支払いは夏冬の賞与にまとめる案（社会保険・扶養への影響は社労士に確認）。</t>
        </is>
      </c>
    </row>
    <row r="31">
      <c r="A31" s="2" t="inlineStr">
        <is>
          <t>・日数は暦日。定休日を除いた営業日数にしたい場合は青字の日数を書き換える。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60" customWidth="1" min="3" max="3"/>
  </cols>
  <sheetData>
    <row r="1">
      <c r="A1" s="1" t="inlineStr">
        <is>
          <t>Weekends 2027年度 予算と報奨金案（売上6,300万円・粗利2,150万円）　入力値</t>
        </is>
      </c>
    </row>
    <row r="2">
      <c r="A2" s="2" t="inlineStr">
        <is>
          <t>青字・黄色＝入力値（変えると全シートが再計算）。金額はすべて税抜・円。</t>
        </is>
      </c>
    </row>
    <row r="4" ht="32" customHeight="1">
      <c r="A4" s="5" t="inlineStr">
        <is>
          <t>項目</t>
        </is>
      </c>
      <c r="B4" s="5" t="inlineStr">
        <is>
          <t>値</t>
        </is>
      </c>
      <c r="C4" s="5" t="inlineStr">
        <is>
          <t>出所・備考</t>
        </is>
      </c>
    </row>
    <row r="5">
      <c r="A5" s="2" t="inlineStr">
        <is>
          <t>年間の目標粗利</t>
        </is>
      </c>
      <c r="B5" s="12" t="n">
        <v>21500000</v>
      </c>
      <c r="C5" s="2" t="inlineStr">
        <is>
          <t>検討案</t>
        </is>
      </c>
    </row>
    <row r="6">
      <c r="A6" s="2" t="inlineStr">
        <is>
          <t>目標粗利率（粗利÷売上）</t>
        </is>
      </c>
      <c r="B6" s="13">
        <f>B5/B19</f>
        <v/>
      </c>
      <c r="C6" s="2" t="inlineStr">
        <is>
          <t>計算値：2,150万円÷6,300万円</t>
        </is>
      </c>
    </row>
    <row r="7">
      <c r="A7" s="2" t="inlineStr">
        <is>
          <t>人件費（月）</t>
        </is>
      </c>
      <c r="B7" s="12" t="n">
        <v>800000</v>
      </c>
      <c r="C7" s="2" t="inlineStr">
        <is>
          <t>年960万円（給与・賞与・法定福利込み）。報奨金は別枠</t>
        </is>
      </c>
    </row>
    <row r="8">
      <c r="A8" s="2" t="inlineStr">
        <is>
          <t>テナント経費の固定分（月）</t>
        </is>
      </c>
      <c r="B8" s="14" t="n">
        <v>209792</v>
      </c>
      <c r="C8" s="2" t="inlineStr">
        <is>
          <t>売上歩合制。前年12か月の回帰の切片</t>
        </is>
      </c>
    </row>
    <row r="9">
      <c r="A9" s="2" t="inlineStr">
        <is>
          <t>テナント経費の売上連動率</t>
        </is>
      </c>
      <c r="B9" s="13" t="n">
        <v>0.0692</v>
      </c>
      <c r="C9" s="2" t="inlineStr">
        <is>
          <t>同上の傾き（決定係数0.94）</t>
        </is>
      </c>
    </row>
    <row r="10">
      <c r="A10" s="2" t="inlineStr">
        <is>
          <t>その他の店舗経費（年）</t>
        </is>
      </c>
      <c r="B10" s="14" t="n">
        <v>3493268</v>
      </c>
      <c r="C10" s="2" t="inlineStr">
        <is>
          <t>管理諸費・減価償却・旅費など。前年実績（発展会計 営業部）</t>
        </is>
      </c>
    </row>
    <row r="11">
      <c r="A11" s="2" t="inlineStr">
        <is>
          <t>共通部の実費（年）</t>
        </is>
      </c>
      <c r="B11" s="14" t="n">
        <v>943852</v>
      </c>
      <c r="C11" s="2" t="inlineStr">
        <is>
          <t>主に租税公課。前年実績</t>
        </is>
      </c>
    </row>
    <row r="12">
      <c r="A12" s="2" t="inlineStr">
        <is>
          <t>本部費（月）</t>
        </is>
      </c>
      <c r="B12" s="14" t="n">
        <v>158000</v>
      </c>
      <c r="C12" s="2" t="inlineStr">
        <is>
          <t>管理会計の共通費（参考：営業利益には含めない）</t>
        </is>
      </c>
    </row>
    <row r="13">
      <c r="A13" s="2" t="inlineStr">
        <is>
          <t>営業外費用（年）</t>
        </is>
      </c>
      <c r="B13" s="14" t="n">
        <v>300000</v>
      </c>
      <c r="C13" s="2" t="inlineStr">
        <is>
          <t>社長案</t>
        </is>
      </c>
    </row>
    <row r="14">
      <c r="A14" s="2" t="inlineStr">
        <is>
          <t>報奨金 第1段階（店舗計・月）</t>
        </is>
      </c>
      <c r="B14" s="12" t="n">
        <v>30000</v>
      </c>
      <c r="C14" s="2" t="inlineStr">
        <is>
          <t>粗利が月の目標の100%以上（例B）</t>
        </is>
      </c>
    </row>
    <row r="15">
      <c r="A15" s="2" t="inlineStr">
        <is>
          <t>報奨金 第2段階（店舗計・月）</t>
        </is>
      </c>
      <c r="B15" s="12" t="n">
        <v>50000</v>
      </c>
      <c r="C15" s="2" t="inlineStr">
        <is>
          <t>粗利が月の目標の105%以上（例B）</t>
        </is>
      </c>
    </row>
    <row r="16">
      <c r="A16" s="2" t="inlineStr">
        <is>
          <t>第2段階のライン</t>
        </is>
      </c>
      <c r="B16" s="15" t="n">
        <v>1.05</v>
      </c>
      <c r="C16" s="2" t="inlineStr"/>
    </row>
    <row r="18">
      <c r="A18" s="3" t="inlineStr">
        <is>
          <t>計算値</t>
        </is>
      </c>
    </row>
    <row r="19">
      <c r="A19" s="2" t="inlineStr">
        <is>
          <t>年間の目標売上</t>
        </is>
      </c>
      <c r="B19" s="12" t="n">
        <v>63000000</v>
      </c>
      <c r="C19" s="2" t="inlineStr">
        <is>
          <t>検討案（税抜）</t>
        </is>
      </c>
    </row>
    <row r="20">
      <c r="A20" s="2" t="inlineStr">
        <is>
          <t>年間の固定費</t>
        </is>
      </c>
      <c r="B20" s="8">
        <f>B7*12+B8*12+B10+B11</f>
        <v/>
      </c>
      <c r="C20" s="2" t="inlineStr">
        <is>
          <t>人件費＋テナント固定分＋その他の店舗経費＋共通部の実費</t>
        </is>
      </c>
    </row>
    <row r="21">
      <c r="A21" s="2" t="inlineStr">
        <is>
          <t>限界利益率</t>
        </is>
      </c>
      <c r="B21" s="16">
        <f>B6-B9</f>
        <v/>
      </c>
      <c r="C21" s="2" t="inlineStr">
        <is>
          <t>粗利率−テナント連動率</t>
        </is>
      </c>
    </row>
    <row r="22">
      <c r="A22" s="2" t="inlineStr">
        <is>
          <t>損益分岐の売上（報奨金前）</t>
        </is>
      </c>
      <c r="B22" s="8">
        <f>B20/B21</f>
        <v/>
      </c>
      <c r="C22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36" customWidth="1" min="4" max="4"/>
  </cols>
  <sheetData>
    <row r="1">
      <c r="A1" s="1" t="inlineStr">
        <is>
          <t>年間の損益計画（100%・105%達成）</t>
        </is>
      </c>
    </row>
    <row r="3" ht="32" customHeight="1">
      <c r="A3" s="5" t="inlineStr">
        <is>
          <t>項目</t>
        </is>
      </c>
      <c r="B3" s="5" t="inlineStr">
        <is>
          <t>100%達成</t>
        </is>
      </c>
      <c r="C3" s="5" t="inlineStr">
        <is>
          <t>105%達成</t>
        </is>
      </c>
      <c r="D3" s="5" t="inlineStr">
        <is>
          <t>内訳・計算</t>
        </is>
      </c>
    </row>
    <row r="4">
      <c r="A4" s="2" t="inlineStr">
        <is>
          <t>達成度</t>
        </is>
      </c>
      <c r="B4" s="16" t="n">
        <v>1</v>
      </c>
      <c r="C4" s="16">
        <f>入力!B16</f>
        <v/>
      </c>
      <c r="D4" s="2" t="inlineStr"/>
    </row>
    <row r="5">
      <c r="A5" s="2" t="inlineStr">
        <is>
          <t>売上</t>
        </is>
      </c>
      <c r="B5" s="8">
        <f>入力!$B$19*B4</f>
        <v/>
      </c>
      <c r="C5" s="8">
        <f>入力!$B$19*C4</f>
        <v/>
      </c>
      <c r="D5" s="2" t="inlineStr">
        <is>
          <t>年6,300万円×達成度</t>
        </is>
      </c>
    </row>
    <row r="6">
      <c r="A6" s="2" t="inlineStr">
        <is>
          <t>粗利</t>
        </is>
      </c>
      <c r="B6" s="8">
        <f>入力!$B$5*B4</f>
        <v/>
      </c>
      <c r="C6" s="8">
        <f>入力!$B$5*C4</f>
        <v/>
      </c>
      <c r="D6" s="2" t="inlineStr"/>
    </row>
    <row r="7">
      <c r="A7" s="2" t="inlineStr">
        <is>
          <t>人件費</t>
        </is>
      </c>
      <c r="B7" s="8">
        <f>入力!$B$7*12</f>
        <v/>
      </c>
      <c r="C7" s="8">
        <f>入力!$B$7*12</f>
        <v/>
      </c>
      <c r="D7" s="2" t="inlineStr">
        <is>
          <t>月80万円</t>
        </is>
      </c>
    </row>
    <row r="8">
      <c r="A8" s="2" t="inlineStr">
        <is>
          <t>報奨金</t>
        </is>
      </c>
      <c r="B8" s="8">
        <f>入力!$B$14*12</f>
        <v/>
      </c>
      <c r="C8" s="8">
        <f>入力!$B$15*12</f>
        <v/>
      </c>
      <c r="D8" s="2" t="inlineStr">
        <is>
          <t>全月達成の場合</t>
        </is>
      </c>
    </row>
    <row r="9">
      <c r="A9" s="2" t="inlineStr">
        <is>
          <t>テナント経費</t>
        </is>
      </c>
      <c r="B9" s="8">
        <f>入力!$B$8*12+B5*入力!$B$9</f>
        <v/>
      </c>
      <c r="C9" s="8">
        <f>入力!$B$8*12+C5*入力!$B$9</f>
        <v/>
      </c>
      <c r="D9" s="2" t="inlineStr">
        <is>
          <t>固定分＋売上×連動率</t>
        </is>
      </c>
    </row>
    <row r="10">
      <c r="A10" s="2" t="inlineStr">
        <is>
          <t>その他の店舗経費</t>
        </is>
      </c>
      <c r="B10" s="8">
        <f>入力!$B$10</f>
        <v/>
      </c>
      <c r="C10" s="8">
        <f>入力!$B$10</f>
        <v/>
      </c>
      <c r="D10" s="2" t="inlineStr"/>
    </row>
    <row r="11">
      <c r="A11" s="2" t="inlineStr">
        <is>
          <t>共通部の実費</t>
        </is>
      </c>
      <c r="B11" s="8">
        <f>入力!$B$11</f>
        <v/>
      </c>
      <c r="C11" s="8">
        <f>入力!$B$11</f>
        <v/>
      </c>
      <c r="D11" s="2" t="inlineStr"/>
    </row>
    <row r="12">
      <c r="A12" s="2" t="inlineStr">
        <is>
          <t>販管費 計</t>
        </is>
      </c>
      <c r="B12" s="8">
        <f>SUM(B7:B11)</f>
        <v/>
      </c>
      <c r="C12" s="8">
        <f>SUM(C7:C11)</f>
        <v/>
      </c>
      <c r="D12" s="2" t="inlineStr"/>
    </row>
    <row r="13">
      <c r="A13" s="17" t="inlineStr">
        <is>
          <t>営業利益</t>
        </is>
      </c>
      <c r="B13" s="7">
        <f>B6-B12</f>
        <v/>
      </c>
      <c r="C13" s="7">
        <f>C6-C12</f>
        <v/>
      </c>
      <c r="D13" s="2" t="inlineStr"/>
    </row>
    <row r="14">
      <c r="A14" s="2" t="inlineStr">
        <is>
          <t>営業外費用</t>
        </is>
      </c>
      <c r="B14" s="8">
        <f>入力!$B$13</f>
        <v/>
      </c>
      <c r="C14" s="8">
        <f>入力!$B$13</f>
        <v/>
      </c>
      <c r="D14" s="2" t="inlineStr"/>
    </row>
    <row r="15">
      <c r="A15" s="17" t="inlineStr">
        <is>
          <t>経常利益</t>
        </is>
      </c>
      <c r="B15" s="7">
        <f>B13-B14</f>
        <v/>
      </c>
      <c r="C15" s="7">
        <f>C13-C14</f>
        <v/>
      </c>
      <c r="D15" s="2" t="inlineStr"/>
    </row>
    <row r="16">
      <c r="A16" s="2" t="inlineStr">
        <is>
          <t>参考：本部費込みの営業利益</t>
        </is>
      </c>
      <c r="B16" s="8">
        <f>B13+B11-入力!$B$12*12</f>
        <v/>
      </c>
      <c r="C16" s="8">
        <f>C13+C11-入力!$B$12*12</f>
        <v/>
      </c>
      <c r="D16" s="2" t="inlineStr">
        <is>
          <t>共通部の実費を本部費に置き換え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14" customWidth="1" min="4" max="4"/>
    <col width="16" customWidth="1" min="5" max="5"/>
    <col width="16" customWidth="1" min="6" max="6"/>
  </cols>
  <sheetData>
    <row r="1">
      <c r="A1" s="1" t="inlineStr">
        <is>
          <t>達成度で営業利益がどう動くか（粗利率は入力値で一定）</t>
        </is>
      </c>
    </row>
    <row r="3" ht="32" customHeight="1">
      <c r="A3" s="5" t="inlineStr">
        <is>
          <t>達成度</t>
        </is>
      </c>
      <c r="B3" s="5" t="inlineStr">
        <is>
          <t>売上</t>
        </is>
      </c>
      <c r="C3" s="5" t="inlineStr">
        <is>
          <t>粗利</t>
        </is>
      </c>
      <c r="D3" s="5" t="inlineStr">
        <is>
          <t>報奨金（年）</t>
        </is>
      </c>
      <c r="E3" s="5" t="inlineStr">
        <is>
          <t>営業利益</t>
        </is>
      </c>
      <c r="F3" s="5" t="inlineStr">
        <is>
          <t>経常利益</t>
        </is>
      </c>
    </row>
    <row r="4">
      <c r="A4" s="18" t="n">
        <v>0.9</v>
      </c>
      <c r="B4" s="8">
        <f>入力!$B$19*A4</f>
        <v/>
      </c>
      <c r="C4" s="8">
        <f>入力!$B$5*A4</f>
        <v/>
      </c>
      <c r="D4" s="8">
        <f>IF(A4&gt;=入力!$B$16,入力!$B$15,IF(A4&gt;=1,入力!$B$14,0))*12</f>
        <v/>
      </c>
      <c r="E4" s="10">
        <f>C4-B4*入力!$B$9-入力!$B$20-D4</f>
        <v/>
      </c>
      <c r="F4" s="8">
        <f>E4-入力!$B$13</f>
        <v/>
      </c>
    </row>
    <row r="5">
      <c r="A5" s="18" t="n">
        <v>0.95</v>
      </c>
      <c r="B5" s="8">
        <f>入力!$B$19*A5</f>
        <v/>
      </c>
      <c r="C5" s="8">
        <f>入力!$B$5*A5</f>
        <v/>
      </c>
      <c r="D5" s="8">
        <f>IF(A5&gt;=入力!$B$16,入力!$B$15,IF(A5&gt;=1,入力!$B$14,0))*12</f>
        <v/>
      </c>
      <c r="E5" s="10">
        <f>C5-B5*入力!$B$9-入力!$B$20-D5</f>
        <v/>
      </c>
      <c r="F5" s="8">
        <f>E5-入力!$B$13</f>
        <v/>
      </c>
    </row>
    <row r="6">
      <c r="A6" s="18" t="n">
        <v>1</v>
      </c>
      <c r="B6" s="8">
        <f>入力!$B$19*A6</f>
        <v/>
      </c>
      <c r="C6" s="8">
        <f>入力!$B$5*A6</f>
        <v/>
      </c>
      <c r="D6" s="8">
        <f>IF(A6&gt;=入力!$B$16,入力!$B$15,IF(A6&gt;=1,入力!$B$14,0))*12</f>
        <v/>
      </c>
      <c r="E6" s="10">
        <f>C6-B6*入力!$B$9-入力!$B$20-D6</f>
        <v/>
      </c>
      <c r="F6" s="8">
        <f>E6-入力!$B$13</f>
        <v/>
      </c>
    </row>
    <row r="7">
      <c r="A7" s="18" t="n">
        <v>1.03</v>
      </c>
      <c r="B7" s="8">
        <f>入力!$B$19*A7</f>
        <v/>
      </c>
      <c r="C7" s="8">
        <f>入力!$B$5*A7</f>
        <v/>
      </c>
      <c r="D7" s="8">
        <f>IF(A7&gt;=入力!$B$16,入力!$B$15,IF(A7&gt;=1,入力!$B$14,0))*12</f>
        <v/>
      </c>
      <c r="E7" s="10">
        <f>C7-B7*入力!$B$9-入力!$B$20-D7</f>
        <v/>
      </c>
      <c r="F7" s="8">
        <f>E7-入力!$B$13</f>
        <v/>
      </c>
    </row>
    <row r="8">
      <c r="A8" s="18" t="n">
        <v>1.05</v>
      </c>
      <c r="B8" s="8">
        <f>入力!$B$19*A8</f>
        <v/>
      </c>
      <c r="C8" s="8">
        <f>入力!$B$5*A8</f>
        <v/>
      </c>
      <c r="D8" s="8">
        <f>IF(A8&gt;=入力!$B$16,入力!$B$15,IF(A8&gt;=1,入力!$B$14,0))*12</f>
        <v/>
      </c>
      <c r="E8" s="10">
        <f>C8-B8*入力!$B$9-入力!$B$20-D8</f>
        <v/>
      </c>
      <c r="F8" s="8">
        <f>E8-入力!$B$13</f>
        <v/>
      </c>
    </row>
    <row r="9">
      <c r="A9" s="18" t="n">
        <v>1.1</v>
      </c>
      <c r="B9" s="8">
        <f>入力!$B$19*A9</f>
        <v/>
      </c>
      <c r="C9" s="8">
        <f>入力!$B$5*A9</f>
        <v/>
      </c>
      <c r="D9" s="8">
        <f>IF(A9&gt;=入力!$B$16,入力!$B$15,IF(A9&gt;=1,入力!$B$14,0))*12</f>
        <v/>
      </c>
      <c r="E9" s="10">
        <f>C9-B9*入力!$B$9-入力!$B$20-D9</f>
        <v/>
      </c>
      <c r="F9" s="8">
        <f>E9-入力!$B$13</f>
        <v/>
      </c>
    </row>
    <row r="11">
      <c r="A11" s="2" t="inlineStr">
        <is>
          <t>予算を1%超えるごとの営業利益の増加</t>
        </is>
      </c>
      <c r="E11" s="8">
        <f>入力!B19*0.01*入力!B21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6" customWidth="1" min="4" max="4"/>
    <col width="16" customWidth="1" min="5" max="5"/>
  </cols>
  <sheetData>
    <row r="1">
      <c r="A1" s="1" t="inlineStr">
        <is>
          <t>粗利率で営業利益がどう動くか（売上は予算どおり）</t>
        </is>
      </c>
    </row>
    <row r="3" ht="32" customHeight="1">
      <c r="A3" s="5" t="inlineStr">
        <is>
          <t>粗利率</t>
        </is>
      </c>
      <c r="B3" s="5" t="inlineStr">
        <is>
          <t>粗利</t>
        </is>
      </c>
      <c r="C3" s="5" t="inlineStr">
        <is>
          <t>報奨金（年）</t>
        </is>
      </c>
      <c r="D3" s="5" t="inlineStr">
        <is>
          <t>営業利益</t>
        </is>
      </c>
      <c r="E3" s="5" t="inlineStr">
        <is>
          <t>経常利益</t>
        </is>
      </c>
    </row>
    <row r="4">
      <c r="A4" s="15" t="n">
        <v>0.31</v>
      </c>
      <c r="B4" s="8">
        <f>入力!$B$19*A4</f>
        <v/>
      </c>
      <c r="C4" s="8">
        <f>IF(B4&gt;=入力!$B$5*入力!$B$16-1,入力!$B$15,IF(B4&gt;=入力!$B$5-1,入力!$B$14,0))*12</f>
        <v/>
      </c>
      <c r="D4" s="10">
        <f>B4-入力!$B$19*入力!$B$9-入力!$B$20-C4</f>
        <v/>
      </c>
      <c r="E4" s="8">
        <f>D4-入力!$B$13</f>
        <v/>
      </c>
    </row>
    <row r="5">
      <c r="A5" s="15" t="n">
        <v>0.32</v>
      </c>
      <c r="B5" s="8">
        <f>入力!$B$19*A5</f>
        <v/>
      </c>
      <c r="C5" s="8">
        <f>IF(B5&gt;=入力!$B$5*入力!$B$16-1,入力!$B$15,IF(B5&gt;=入力!$B$5-1,入力!$B$14,0))*12</f>
        <v/>
      </c>
      <c r="D5" s="10">
        <f>B5-入力!$B$19*入力!$B$9-入力!$B$20-C5</f>
        <v/>
      </c>
      <c r="E5" s="8">
        <f>D5-入力!$B$13</f>
        <v/>
      </c>
    </row>
    <row r="6">
      <c r="A6" s="15" t="n">
        <v>0.33</v>
      </c>
      <c r="B6" s="8">
        <f>入力!$B$19*A6</f>
        <v/>
      </c>
      <c r="C6" s="8">
        <f>IF(B6&gt;=入力!$B$5*入力!$B$16-1,入力!$B$15,IF(B6&gt;=入力!$B$5-1,入力!$B$14,0))*12</f>
        <v/>
      </c>
      <c r="D6" s="10">
        <f>B6-入力!$B$19*入力!$B$9-入力!$B$20-C6</f>
        <v/>
      </c>
      <c r="E6" s="8">
        <f>D6-入力!$B$13</f>
        <v/>
      </c>
    </row>
    <row r="7">
      <c r="A7" s="15">
        <f>入力!B6</f>
        <v/>
      </c>
      <c r="B7" s="8">
        <f>入力!$B$19*A7</f>
        <v/>
      </c>
      <c r="C7" s="8">
        <f>IF(B7&gt;=入力!$B$5*入力!$B$16-1,入力!$B$15,IF(B7&gt;=入力!$B$5-1,入力!$B$14,0))*12</f>
        <v/>
      </c>
      <c r="D7" s="10">
        <f>B7-入力!$B$19*入力!$B$9-入力!$B$20-C7</f>
        <v/>
      </c>
      <c r="E7" s="8">
        <f>D7-入力!$B$13</f>
        <v/>
      </c>
    </row>
    <row r="8">
      <c r="A8" s="15" t="n">
        <v>0.35</v>
      </c>
      <c r="B8" s="8">
        <f>入力!$B$19*A8</f>
        <v/>
      </c>
      <c r="C8" s="8">
        <f>IF(B8&gt;=入力!$B$5*入力!$B$16-1,入力!$B$15,IF(B8&gt;=入力!$B$5-1,入力!$B$14,0))*12</f>
        <v/>
      </c>
      <c r="D8" s="10">
        <f>B8-入力!$B$19*入力!$B$9-入力!$B$20-C8</f>
        <v/>
      </c>
      <c r="E8" s="8">
        <f>D8-入力!$B$13</f>
        <v/>
      </c>
    </row>
    <row r="9">
      <c r="A9" s="15" t="n">
        <v>0.36</v>
      </c>
      <c r="B9" s="8">
        <f>入力!$B$19*A9</f>
        <v/>
      </c>
      <c r="C9" s="8">
        <f>IF(B9&gt;=入力!$B$5*入力!$B$16-1,入力!$B$15,IF(B9&gt;=入力!$B$5-1,入力!$B$14,0))*12</f>
        <v/>
      </c>
      <c r="D9" s="10">
        <f>B9-入力!$B$19*入力!$B$9-入力!$B$20-C9</f>
        <v/>
      </c>
      <c r="E9" s="8">
        <f>D9-入力!$B$13</f>
        <v/>
      </c>
    </row>
    <row r="11">
      <c r="A11" s="2" t="inlineStr">
        <is>
          <t>粗利率1ポイントあたりの営業利益の変化</t>
        </is>
      </c>
      <c r="D11" s="8">
        <f>入力!B19*0.01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月別の目標と営業利益　構成比版（全月で100%達成した場合）</t>
        </is>
      </c>
    </row>
    <row r="2">
      <c r="A2" s="2" t="inlineStr">
        <is>
          <t>月の目標は前年（2025/8〜2026/7）の売上構成比で配分。固定費は12等分。黄色の実績粗利（スマレジ・税抜）を入れると段階と報奨金が出る。</t>
        </is>
      </c>
    </row>
    <row r="3">
      <c r="A3" s="2" t="inlineStr">
        <is>
          <t>黄色の「売上目標」は10万円単位（年計6,300万円）、「粗利目標100%」は5万円単位（年計2,150万円）に丸めた目標。105%は5万円単位。</t>
        </is>
      </c>
    </row>
    <row r="5" ht="32" customHeight="1">
      <c r="A5" s="5" t="inlineStr">
        <is>
          <t>月</t>
        </is>
      </c>
      <c r="B5" s="5" t="inlineStr">
        <is>
          <t>前年売上（参考）</t>
        </is>
      </c>
      <c r="C5" s="5" t="inlineStr">
        <is>
          <t>比率</t>
        </is>
      </c>
      <c r="D5" s="5" t="inlineStr">
        <is>
          <t>売上目標</t>
        </is>
      </c>
      <c r="E5" s="5" t="inlineStr">
        <is>
          <t>粗利目標（丸め前）</t>
        </is>
      </c>
      <c r="F5" s="5" t="inlineStr">
        <is>
          <t>粗利目標100%</t>
        </is>
      </c>
      <c r="G5" s="5" t="inlineStr">
        <is>
          <t>粗利目標105%</t>
        </is>
      </c>
      <c r="H5" s="5" t="inlineStr">
        <is>
          <t>営業利益（100%時）</t>
        </is>
      </c>
      <c r="I5" s="5" t="inlineStr">
        <is>
          <t>累計</t>
        </is>
      </c>
      <c r="J5" s="5" t="inlineStr">
        <is>
          <t>実績粗利</t>
        </is>
      </c>
      <c r="K5" s="5" t="inlineStr">
        <is>
          <t>段階</t>
        </is>
      </c>
      <c r="L5" s="5" t="inlineStr">
        <is>
          <t>報奨金</t>
        </is>
      </c>
    </row>
    <row r="6">
      <c r="A6" s="2" t="inlineStr">
        <is>
          <t>8月</t>
        </is>
      </c>
      <c r="B6" s="14" t="n">
        <v>3040292</v>
      </c>
      <c r="C6" s="16">
        <f>B6/SUM($B$6:$B$17)</f>
        <v/>
      </c>
      <c r="D6" s="12" t="n">
        <v>3600000</v>
      </c>
      <c r="E6" s="8">
        <f>ROUND(入力!$B$5*C6,-3)</f>
        <v/>
      </c>
      <c r="F6" s="12" t="n">
        <v>1200000</v>
      </c>
      <c r="G6" s="8">
        <f>ROUND(F6*入力!$B$16/50000,0)*50000</f>
        <v/>
      </c>
      <c r="H6" s="8">
        <f>F6-D6*入力!$B$9-入力!$B$20/12-入力!$B$14</f>
        <v/>
      </c>
      <c r="I6" s="8">
        <f>SUM($H$6:H6)</f>
        <v/>
      </c>
      <c r="J6" s="12" t="n"/>
      <c r="K6" s="11">
        <f>IF(J6="","",IF(J6&gt;=G6,2,IF(J6&gt;=F6,1,0)))</f>
        <v/>
      </c>
      <c r="L6" s="8">
        <f>IF(OR(K6="",K6=0),0,IF(K6=2,入力!$B$15,入力!$B$14))</f>
        <v/>
      </c>
    </row>
    <row r="7">
      <c r="A7" s="2" t="inlineStr">
        <is>
          <t>9月</t>
        </is>
      </c>
      <c r="B7" s="14" t="n">
        <v>3638478</v>
      </c>
      <c r="C7" s="16">
        <f>B7/SUM($B$6:$B$17)</f>
        <v/>
      </c>
      <c r="D7" s="12" t="n">
        <v>4300000</v>
      </c>
      <c r="E7" s="8">
        <f>ROUND(入力!$B$5*C7,-3)</f>
        <v/>
      </c>
      <c r="F7" s="12" t="n">
        <v>1450000</v>
      </c>
      <c r="G7" s="8">
        <f>ROUND(F7*入力!$B$16/50000,0)*50000</f>
        <v/>
      </c>
      <c r="H7" s="8">
        <f>F7-D7*入力!$B$9-入力!$B$20/12-入力!$B$14</f>
        <v/>
      </c>
      <c r="I7" s="8">
        <f>SUM($H$6:H7)</f>
        <v/>
      </c>
      <c r="J7" s="12" t="n"/>
      <c r="K7" s="11">
        <f>IF(J7="","",IF(J7&gt;=G7,2,IF(J7&gt;=F7,1,0)))</f>
        <v/>
      </c>
      <c r="L7" s="8">
        <f>IF(OR(K7="",K7=0),0,IF(K7=2,入力!$B$15,入力!$B$14))</f>
        <v/>
      </c>
    </row>
    <row r="8">
      <c r="A8" s="2" t="inlineStr">
        <is>
          <t>10月</t>
        </is>
      </c>
      <c r="B8" s="14" t="n">
        <v>4934704</v>
      </c>
      <c r="C8" s="16">
        <f>B8/SUM($B$6:$B$17)</f>
        <v/>
      </c>
      <c r="D8" s="12" t="n">
        <v>5800000</v>
      </c>
      <c r="E8" s="8">
        <f>ROUND(入力!$B$5*C8,-3)</f>
        <v/>
      </c>
      <c r="F8" s="12" t="n">
        <v>2000000</v>
      </c>
      <c r="G8" s="8">
        <f>ROUND(F8*入力!$B$16/50000,0)*50000</f>
        <v/>
      </c>
      <c r="H8" s="8">
        <f>F8-D8*入力!$B$9-入力!$B$20/12-入力!$B$14</f>
        <v/>
      </c>
      <c r="I8" s="8">
        <f>SUM($H$6:H8)</f>
        <v/>
      </c>
      <c r="J8" s="12" t="n"/>
      <c r="K8" s="11">
        <f>IF(J8="","",IF(J8&gt;=G8,2,IF(J8&gt;=F8,1,0)))</f>
        <v/>
      </c>
      <c r="L8" s="8">
        <f>IF(OR(K8="",K8=0),0,IF(K8=2,入力!$B$15,入力!$B$14))</f>
        <v/>
      </c>
    </row>
    <row r="9">
      <c r="A9" s="2" t="inlineStr">
        <is>
          <t>11月</t>
        </is>
      </c>
      <c r="B9" s="14" t="n">
        <v>5149749</v>
      </c>
      <c r="C9" s="16">
        <f>B9/SUM($B$6:$B$17)</f>
        <v/>
      </c>
      <c r="D9" s="12" t="n">
        <v>6000000</v>
      </c>
      <c r="E9" s="8">
        <f>ROUND(入力!$B$5*C9,-3)</f>
        <v/>
      </c>
      <c r="F9" s="12" t="n">
        <v>2050000</v>
      </c>
      <c r="G9" s="8">
        <f>ROUND(F9*入力!$B$16/50000,0)*50000</f>
        <v/>
      </c>
      <c r="H9" s="8">
        <f>F9-D9*入力!$B$9-入力!$B$20/12-入力!$B$14</f>
        <v/>
      </c>
      <c r="I9" s="8">
        <f>SUM($H$6:H9)</f>
        <v/>
      </c>
      <c r="J9" s="12" t="n"/>
      <c r="K9" s="11">
        <f>IF(J9="","",IF(J9&gt;=G9,2,IF(J9&gt;=F9,1,0)))</f>
        <v/>
      </c>
      <c r="L9" s="8">
        <f>IF(OR(K9="",K9=0),0,IF(K9=2,入力!$B$15,入力!$B$14))</f>
        <v/>
      </c>
    </row>
    <row r="10">
      <c r="A10" s="2" t="inlineStr">
        <is>
          <t>12月</t>
        </is>
      </c>
      <c r="B10" s="14" t="n">
        <v>6820952</v>
      </c>
      <c r="C10" s="16">
        <f>B10/SUM($B$6:$B$17)</f>
        <v/>
      </c>
      <c r="D10" s="12" t="n">
        <v>8000000</v>
      </c>
      <c r="E10" s="8">
        <f>ROUND(入力!$B$5*C10,-3)</f>
        <v/>
      </c>
      <c r="F10" s="12" t="n">
        <v>2750000</v>
      </c>
      <c r="G10" s="8">
        <f>ROUND(F10*入力!$B$16/50000,0)*50000</f>
        <v/>
      </c>
      <c r="H10" s="8">
        <f>F10-D10*入力!$B$9-入力!$B$20/12-入力!$B$14</f>
        <v/>
      </c>
      <c r="I10" s="8">
        <f>SUM($H$6:H10)</f>
        <v/>
      </c>
      <c r="J10" s="12" t="n"/>
      <c r="K10" s="11">
        <f>IF(J10="","",IF(J10&gt;=G10,2,IF(J10&gt;=F10,1,0)))</f>
        <v/>
      </c>
      <c r="L10" s="8">
        <f>IF(OR(K10="",K10=0),0,IF(K10=2,入力!$B$15,入力!$B$14))</f>
        <v/>
      </c>
    </row>
    <row r="11">
      <c r="A11" s="2" t="inlineStr">
        <is>
          <t>1月</t>
        </is>
      </c>
      <c r="B11" s="14" t="n">
        <v>4850701</v>
      </c>
      <c r="C11" s="16">
        <f>B11/SUM($B$6:$B$17)</f>
        <v/>
      </c>
      <c r="D11" s="12" t="n">
        <v>5700000</v>
      </c>
      <c r="E11" s="8">
        <f>ROUND(入力!$B$5*C11,-3)</f>
        <v/>
      </c>
      <c r="F11" s="12" t="n">
        <v>1950000</v>
      </c>
      <c r="G11" s="8">
        <f>ROUND(F11*入力!$B$16/50000,0)*50000</f>
        <v/>
      </c>
      <c r="H11" s="8">
        <f>F11-D11*入力!$B$9-入力!$B$20/12-入力!$B$14</f>
        <v/>
      </c>
      <c r="I11" s="8">
        <f>SUM($H$6:H11)</f>
        <v/>
      </c>
      <c r="J11" s="12" t="n"/>
      <c r="K11" s="11">
        <f>IF(J11="","",IF(J11&gt;=G11,2,IF(J11&gt;=F11,1,0)))</f>
        <v/>
      </c>
      <c r="L11" s="8">
        <f>IF(OR(K11="",K11=0),0,IF(K11=2,入力!$B$15,入力!$B$14))</f>
        <v/>
      </c>
    </row>
    <row r="12">
      <c r="A12" s="2" t="inlineStr">
        <is>
          <t>2月</t>
        </is>
      </c>
      <c r="B12" s="14" t="n">
        <v>2795656</v>
      </c>
      <c r="C12" s="16">
        <f>B12/SUM($B$6:$B$17)</f>
        <v/>
      </c>
      <c r="D12" s="12" t="n">
        <v>3300000</v>
      </c>
      <c r="E12" s="8">
        <f>ROUND(入力!$B$5*C12,-3)</f>
        <v/>
      </c>
      <c r="F12" s="12" t="n">
        <v>1100000</v>
      </c>
      <c r="G12" s="8">
        <f>ROUND(F12*入力!$B$16/50000,0)*50000</f>
        <v/>
      </c>
      <c r="H12" s="8">
        <f>F12-D12*入力!$B$9-入力!$B$20/12-入力!$B$14</f>
        <v/>
      </c>
      <c r="I12" s="8">
        <f>SUM($H$6:H12)</f>
        <v/>
      </c>
      <c r="J12" s="12" t="n"/>
      <c r="K12" s="11">
        <f>IF(J12="","",IF(J12&gt;=G12,2,IF(J12&gt;=F12,1,0)))</f>
        <v/>
      </c>
      <c r="L12" s="8">
        <f>IF(OR(K12="",K12=0),0,IF(K12=2,入力!$B$15,入力!$B$14))</f>
        <v/>
      </c>
    </row>
    <row r="13">
      <c r="A13" s="2" t="inlineStr">
        <is>
          <t>3月</t>
        </is>
      </c>
      <c r="B13" s="14" t="n">
        <v>4419804</v>
      </c>
      <c r="C13" s="16">
        <f>B13/SUM($B$6:$B$17)</f>
        <v/>
      </c>
      <c r="D13" s="12" t="n">
        <v>5200000</v>
      </c>
      <c r="E13" s="8">
        <f>ROUND(入力!$B$5*C13,-3)</f>
        <v/>
      </c>
      <c r="F13" s="12" t="n">
        <v>1750000</v>
      </c>
      <c r="G13" s="8">
        <f>ROUND(F13*入力!$B$16/50000,0)*50000</f>
        <v/>
      </c>
      <c r="H13" s="8">
        <f>F13-D13*入力!$B$9-入力!$B$20/12-入力!$B$14</f>
        <v/>
      </c>
      <c r="I13" s="8">
        <f>SUM($H$6:H13)</f>
        <v/>
      </c>
      <c r="J13" s="12" t="n"/>
      <c r="K13" s="11">
        <f>IF(J13="","",IF(J13&gt;=G13,2,IF(J13&gt;=F13,1,0)))</f>
        <v/>
      </c>
      <c r="L13" s="8">
        <f>IF(OR(K13="",K13=0),0,IF(K13=2,入力!$B$15,入力!$B$14))</f>
        <v/>
      </c>
    </row>
    <row r="14">
      <c r="A14" s="2" t="inlineStr">
        <is>
          <t>4月</t>
        </is>
      </c>
      <c r="B14" s="14" t="n">
        <v>3581469</v>
      </c>
      <c r="C14" s="16">
        <f>B14/SUM($B$6:$B$17)</f>
        <v/>
      </c>
      <c r="D14" s="12" t="n">
        <v>4200000</v>
      </c>
      <c r="E14" s="8">
        <f>ROUND(入力!$B$5*C14,-3)</f>
        <v/>
      </c>
      <c r="F14" s="12" t="n">
        <v>1450000</v>
      </c>
      <c r="G14" s="8">
        <f>ROUND(F14*入力!$B$16/50000,0)*50000</f>
        <v/>
      </c>
      <c r="H14" s="8">
        <f>F14-D14*入力!$B$9-入力!$B$20/12-入力!$B$14</f>
        <v/>
      </c>
      <c r="I14" s="8">
        <f>SUM($H$6:H14)</f>
        <v/>
      </c>
      <c r="J14" s="12" t="n"/>
      <c r="K14" s="11">
        <f>IF(J14="","",IF(J14&gt;=G14,2,IF(J14&gt;=F14,1,0)))</f>
        <v/>
      </c>
      <c r="L14" s="8">
        <f>IF(OR(K14="",K14=0),0,IF(K14=2,入力!$B$15,入力!$B$14))</f>
        <v/>
      </c>
    </row>
    <row r="15">
      <c r="A15" s="2" t="inlineStr">
        <is>
          <t>5月</t>
        </is>
      </c>
      <c r="B15" s="14" t="n">
        <v>4799124</v>
      </c>
      <c r="C15" s="16">
        <f>B15/SUM($B$6:$B$17)</f>
        <v/>
      </c>
      <c r="D15" s="12" t="n">
        <v>5600000</v>
      </c>
      <c r="E15" s="8">
        <f>ROUND(入力!$B$5*C15,-3)</f>
        <v/>
      </c>
      <c r="F15" s="12" t="n">
        <v>1950000</v>
      </c>
      <c r="G15" s="8">
        <f>ROUND(F15*入力!$B$16/50000,0)*50000</f>
        <v/>
      </c>
      <c r="H15" s="8">
        <f>F15-D15*入力!$B$9-入力!$B$20/12-入力!$B$14</f>
        <v/>
      </c>
      <c r="I15" s="8">
        <f>SUM($H$6:H15)</f>
        <v/>
      </c>
      <c r="J15" s="12" t="n"/>
      <c r="K15" s="11">
        <f>IF(J15="","",IF(J15&gt;=G15,2,IF(J15&gt;=F15,1,0)))</f>
        <v/>
      </c>
      <c r="L15" s="8">
        <f>IF(OR(K15="",K15=0),0,IF(K15=2,入力!$B$15,入力!$B$14))</f>
        <v/>
      </c>
    </row>
    <row r="16">
      <c r="A16" s="2" t="inlineStr">
        <is>
          <t>6月</t>
        </is>
      </c>
      <c r="B16" s="14" t="n">
        <v>4888307</v>
      </c>
      <c r="C16" s="16">
        <f>B16/SUM($B$6:$B$17)</f>
        <v/>
      </c>
      <c r="D16" s="12" t="n">
        <v>5700000</v>
      </c>
      <c r="E16" s="8">
        <f>ROUND(入力!$B$5*C16,-3)</f>
        <v/>
      </c>
      <c r="F16" s="12" t="n">
        <v>1950000</v>
      </c>
      <c r="G16" s="8">
        <f>ROUND(F16*入力!$B$16/50000,0)*50000</f>
        <v/>
      </c>
      <c r="H16" s="8">
        <f>F16-D16*入力!$B$9-入力!$B$20/12-入力!$B$14</f>
        <v/>
      </c>
      <c r="I16" s="8">
        <f>SUM($H$6:H16)</f>
        <v/>
      </c>
      <c r="J16" s="12" t="n"/>
      <c r="K16" s="11">
        <f>IF(J16="","",IF(J16&gt;=G16,2,IF(J16&gt;=F16,1,0)))</f>
        <v/>
      </c>
      <c r="L16" s="8">
        <f>IF(OR(K16="",K16=0),0,IF(K16=2,入力!$B$15,入力!$B$14))</f>
        <v/>
      </c>
    </row>
    <row r="17">
      <c r="A17" s="2" t="inlineStr">
        <is>
          <t>7月</t>
        </is>
      </c>
      <c r="B17" s="14" t="n">
        <v>4741065</v>
      </c>
      <c r="C17" s="16">
        <f>B17/SUM($B$6:$B$17)</f>
        <v/>
      </c>
      <c r="D17" s="12" t="n">
        <v>5600000</v>
      </c>
      <c r="E17" s="8">
        <f>ROUND(入力!$B$5*C17,-3)</f>
        <v/>
      </c>
      <c r="F17" s="12" t="n">
        <v>1900000</v>
      </c>
      <c r="G17" s="8">
        <f>ROUND(F17*入力!$B$16/50000,0)*50000</f>
        <v/>
      </c>
      <c r="H17" s="8">
        <f>F17-D17*入力!$B$9-入力!$B$20/12-入力!$B$14</f>
        <v/>
      </c>
      <c r="I17" s="8">
        <f>SUM($H$6:H17)</f>
        <v/>
      </c>
      <c r="J17" s="12" t="n"/>
      <c r="K17" s="11">
        <f>IF(J17="","",IF(J17&gt;=G17,2,IF(J17&gt;=F17,1,0)))</f>
        <v/>
      </c>
      <c r="L17" s="8">
        <f>IF(OR(K17="",K17=0),0,IF(K17=2,入力!$B$15,入力!$B$14))</f>
        <v/>
      </c>
    </row>
    <row r="18">
      <c r="A18" s="3" t="inlineStr">
        <is>
          <t>年計</t>
        </is>
      </c>
      <c r="B18" s="10">
        <f>SUM(B6:B17)</f>
        <v/>
      </c>
      <c r="D18" s="10">
        <f>SUM(D6:D17)</f>
        <v/>
      </c>
      <c r="E18" s="10">
        <f>SUM(E6:E17)</f>
        <v/>
      </c>
      <c r="F18" s="10">
        <f>SUM(F6:F17)</f>
        <v/>
      </c>
      <c r="G18" s="10">
        <f>SUM(G6:G17)</f>
        <v/>
      </c>
      <c r="H18" s="10">
        <f>SUM(H6:H17)</f>
        <v/>
      </c>
      <c r="J18" s="10">
        <f>SUM(J6:J17)</f>
        <v/>
      </c>
      <c r="L18" s="10">
        <f>SUM(L6:L17)</f>
        <v/>
      </c>
    </row>
    <row r="19">
      <c r="A19" s="2" t="inlineStr">
        <is>
          <t>年間目標との差</t>
        </is>
      </c>
      <c r="D19" s="8">
        <f>D18-入力!B19</f>
        <v/>
      </c>
      <c r="F19" s="8">
        <f>F18-入力!B5</f>
        <v/>
      </c>
    </row>
    <row r="20">
      <c r="A20" s="2" t="inlineStr">
        <is>
          <t>（丸めた目標を直したら、D19とF19が0円になるように調整してください）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月別の目標と営業利益　スマレジ版（全月で100%達成した場合）</t>
        </is>
      </c>
    </row>
    <row r="2">
      <c r="A2" s="2" t="inlineStr">
        <is>
          <t>月の目標は、店長がスマレジに登録した店舗予算（年6,000万円・税抜）の月比率で配分。同じ予算額の月は同じ目標にそろえた。</t>
        </is>
      </c>
    </row>
    <row r="3">
      <c r="A3" s="2" t="inlineStr">
        <is>
          <t>黄色の「売上目標」は10万円単位（年計6,300万円）、「粗利目標100%」は5万円単位（年計2,150万円）に丸めた目標。105%は5万円単位。</t>
        </is>
      </c>
    </row>
    <row r="5" ht="32" customHeight="1">
      <c r="A5" s="5" t="inlineStr">
        <is>
          <t>月</t>
        </is>
      </c>
      <c r="B5" s="5" t="inlineStr">
        <is>
          <t>スマレジ予算（参考）</t>
        </is>
      </c>
      <c r="C5" s="5" t="inlineStr">
        <is>
          <t>比率</t>
        </is>
      </c>
      <c r="D5" s="5" t="inlineStr">
        <is>
          <t>売上目標</t>
        </is>
      </c>
      <c r="E5" s="5" t="inlineStr">
        <is>
          <t>粗利目標（丸め前）</t>
        </is>
      </c>
      <c r="F5" s="5" t="inlineStr">
        <is>
          <t>粗利目標100%</t>
        </is>
      </c>
      <c r="G5" s="5" t="inlineStr">
        <is>
          <t>粗利目標105%</t>
        </is>
      </c>
      <c r="H5" s="5" t="inlineStr">
        <is>
          <t>営業利益（100%時）</t>
        </is>
      </c>
      <c r="I5" s="5" t="inlineStr">
        <is>
          <t>累計</t>
        </is>
      </c>
      <c r="J5" s="5" t="inlineStr">
        <is>
          <t>構成比版との差（粗利目標）</t>
        </is>
      </c>
      <c r="K5" s="5" t="inlineStr">
        <is>
          <t>実績粗利</t>
        </is>
      </c>
      <c r="L5" s="5" t="inlineStr">
        <is>
          <t>段階</t>
        </is>
      </c>
      <c r="M5" s="5" t="inlineStr">
        <is>
          <t>報奨金</t>
        </is>
      </c>
    </row>
    <row r="6">
      <c r="A6" s="2" t="inlineStr">
        <is>
          <t>8月</t>
        </is>
      </c>
      <c r="B6" s="14" t="n">
        <v>3500000</v>
      </c>
      <c r="C6" s="16">
        <f>B6/SUM($B$6:$B$17)</f>
        <v/>
      </c>
      <c r="D6" s="12" t="n">
        <v>3700000</v>
      </c>
      <c r="E6" s="8">
        <f>ROUND(入力!$B$5*C6,-3)</f>
        <v/>
      </c>
      <c r="F6" s="12" t="n">
        <v>1250000</v>
      </c>
      <c r="G6" s="8">
        <f>ROUND(F6*入力!$B$16/50000,0)*50000</f>
        <v/>
      </c>
      <c r="H6" s="8">
        <f>F6-D6*入力!$B$9-入力!$B$20/12-入力!$B$14</f>
        <v/>
      </c>
      <c r="I6" s="8">
        <f>SUM($H$6:H6)</f>
        <v/>
      </c>
      <c r="J6" s="8">
        <f>F6-'月別目標と営業利益'!F6</f>
        <v/>
      </c>
      <c r="K6" s="12" t="n"/>
      <c r="L6" s="11">
        <f>IF(K6="","",IF(K6&gt;=G6,2,IF(K6&gt;=F6,1,0)))</f>
        <v/>
      </c>
      <c r="M6" s="8">
        <f>IF(OR(L6="",L6=0),0,IF(L6=2,入力!$B$15,入力!$B$14))</f>
        <v/>
      </c>
    </row>
    <row r="7">
      <c r="A7" s="2" t="inlineStr">
        <is>
          <t>9月</t>
        </is>
      </c>
      <c r="B7" s="14" t="n">
        <v>4500000</v>
      </c>
      <c r="C7" s="16">
        <f>B7/SUM($B$6:$B$17)</f>
        <v/>
      </c>
      <c r="D7" s="12" t="n">
        <v>4700000</v>
      </c>
      <c r="E7" s="8">
        <f>ROUND(入力!$B$5*C7,-3)</f>
        <v/>
      </c>
      <c r="F7" s="12" t="n">
        <v>1600000</v>
      </c>
      <c r="G7" s="8">
        <f>ROUND(F7*入力!$B$16/50000,0)*50000</f>
        <v/>
      </c>
      <c r="H7" s="8">
        <f>F7-D7*入力!$B$9-入力!$B$20/12-入力!$B$14</f>
        <v/>
      </c>
      <c r="I7" s="8">
        <f>SUM($H$6:H7)</f>
        <v/>
      </c>
      <c r="J7" s="8">
        <f>F7-'月別目標と営業利益'!F7</f>
        <v/>
      </c>
      <c r="K7" s="12" t="n"/>
      <c r="L7" s="11">
        <f>IF(K7="","",IF(K7&gt;=G7,2,IF(K7&gt;=F7,1,0)))</f>
        <v/>
      </c>
      <c r="M7" s="8">
        <f>IF(OR(L7="",L7=0),0,IF(L7=2,入力!$B$15,入力!$B$14))</f>
        <v/>
      </c>
    </row>
    <row r="8">
      <c r="A8" s="2" t="inlineStr">
        <is>
          <t>10月</t>
        </is>
      </c>
      <c r="B8" s="14" t="n">
        <v>5500000</v>
      </c>
      <c r="C8" s="16">
        <f>B8/SUM($B$6:$B$17)</f>
        <v/>
      </c>
      <c r="D8" s="12" t="n">
        <v>5800000</v>
      </c>
      <c r="E8" s="8">
        <f>ROUND(入力!$B$5*C8,-3)</f>
        <v/>
      </c>
      <c r="F8" s="12" t="n">
        <v>2000000</v>
      </c>
      <c r="G8" s="8">
        <f>ROUND(F8*入力!$B$16/50000,0)*50000</f>
        <v/>
      </c>
      <c r="H8" s="8">
        <f>F8-D8*入力!$B$9-入力!$B$20/12-入力!$B$14</f>
        <v/>
      </c>
      <c r="I8" s="8">
        <f>SUM($H$6:H8)</f>
        <v/>
      </c>
      <c r="J8" s="8">
        <f>F8-'月別目標と営業利益'!F8</f>
        <v/>
      </c>
      <c r="K8" s="12" t="n"/>
      <c r="L8" s="11">
        <f>IF(K8="","",IF(K8&gt;=G8,2,IF(K8&gt;=F8,1,0)))</f>
        <v/>
      </c>
      <c r="M8" s="8">
        <f>IF(OR(L8="",L8=0),0,IF(L8=2,入力!$B$15,入力!$B$14))</f>
        <v/>
      </c>
    </row>
    <row r="9">
      <c r="A9" s="2" t="inlineStr">
        <is>
          <t>11月</t>
        </is>
      </c>
      <c r="B9" s="14" t="n">
        <v>5500000</v>
      </c>
      <c r="C9" s="16">
        <f>B9/SUM($B$6:$B$17)</f>
        <v/>
      </c>
      <c r="D9" s="12" t="n">
        <v>5800000</v>
      </c>
      <c r="E9" s="8">
        <f>ROUND(入力!$B$5*C9,-3)</f>
        <v/>
      </c>
      <c r="F9" s="12" t="n">
        <v>2000000</v>
      </c>
      <c r="G9" s="8">
        <f>ROUND(F9*入力!$B$16/50000,0)*50000</f>
        <v/>
      </c>
      <c r="H9" s="8">
        <f>F9-D9*入力!$B$9-入力!$B$20/12-入力!$B$14</f>
        <v/>
      </c>
      <c r="I9" s="8">
        <f>SUM($H$6:H9)</f>
        <v/>
      </c>
      <c r="J9" s="8">
        <f>F9-'月別目標と営業利益'!F9</f>
        <v/>
      </c>
      <c r="K9" s="12" t="n"/>
      <c r="L9" s="11">
        <f>IF(K9="","",IF(K9&gt;=G9,2,IF(K9&gt;=F9,1,0)))</f>
        <v/>
      </c>
      <c r="M9" s="8">
        <f>IF(OR(L9="",L9=0),0,IF(L9=2,入力!$B$15,入力!$B$14))</f>
        <v/>
      </c>
    </row>
    <row r="10">
      <c r="A10" s="2" t="inlineStr">
        <is>
          <t>12月</t>
        </is>
      </c>
      <c r="B10" s="14" t="n">
        <v>7000000</v>
      </c>
      <c r="C10" s="16">
        <f>B10/SUM($B$6:$B$17)</f>
        <v/>
      </c>
      <c r="D10" s="12" t="n">
        <v>7300000</v>
      </c>
      <c r="E10" s="8">
        <f>ROUND(入力!$B$5*C10,-3)</f>
        <v/>
      </c>
      <c r="F10" s="12" t="n">
        <v>2500000</v>
      </c>
      <c r="G10" s="8">
        <f>ROUND(F10*入力!$B$16/50000,0)*50000</f>
        <v/>
      </c>
      <c r="H10" s="8">
        <f>F10-D10*入力!$B$9-入力!$B$20/12-入力!$B$14</f>
        <v/>
      </c>
      <c r="I10" s="8">
        <f>SUM($H$6:H10)</f>
        <v/>
      </c>
      <c r="J10" s="8">
        <f>F10-'月別目標と営業利益'!F10</f>
        <v/>
      </c>
      <c r="K10" s="12" t="n"/>
      <c r="L10" s="11">
        <f>IF(K10="","",IF(K10&gt;=G10,2,IF(K10&gt;=F10,1,0)))</f>
        <v/>
      </c>
      <c r="M10" s="8">
        <f>IF(OR(L10="",L10=0),0,IF(L10=2,入力!$B$15,入力!$B$14))</f>
        <v/>
      </c>
    </row>
    <row r="11">
      <c r="A11" s="2" t="inlineStr">
        <is>
          <t>1月</t>
        </is>
      </c>
      <c r="B11" s="14" t="n">
        <v>6000000</v>
      </c>
      <c r="C11" s="16">
        <f>B11/SUM($B$6:$B$17)</f>
        <v/>
      </c>
      <c r="D11" s="12" t="n">
        <v>6300000</v>
      </c>
      <c r="E11" s="8">
        <f>ROUND(入力!$B$5*C11,-3)</f>
        <v/>
      </c>
      <c r="F11" s="12" t="n">
        <v>2100000</v>
      </c>
      <c r="G11" s="8">
        <f>ROUND(F11*入力!$B$16/50000,0)*50000</f>
        <v/>
      </c>
      <c r="H11" s="8">
        <f>F11-D11*入力!$B$9-入力!$B$20/12-入力!$B$14</f>
        <v/>
      </c>
      <c r="I11" s="8">
        <f>SUM($H$6:H11)</f>
        <v/>
      </c>
      <c r="J11" s="8">
        <f>F11-'月別目標と営業利益'!F11</f>
        <v/>
      </c>
      <c r="K11" s="12" t="n"/>
      <c r="L11" s="11">
        <f>IF(K11="","",IF(K11&gt;=G11,2,IF(K11&gt;=F11,1,0)))</f>
        <v/>
      </c>
      <c r="M11" s="8">
        <f>IF(OR(L11="",L11=0),0,IF(L11=2,入力!$B$15,入力!$B$14))</f>
        <v/>
      </c>
    </row>
    <row r="12">
      <c r="A12" s="2" t="inlineStr">
        <is>
          <t>2月</t>
        </is>
      </c>
      <c r="B12" s="14" t="n">
        <v>3500000</v>
      </c>
      <c r="C12" s="16">
        <f>B12/SUM($B$6:$B$17)</f>
        <v/>
      </c>
      <c r="D12" s="12" t="n">
        <v>3700000</v>
      </c>
      <c r="E12" s="8">
        <f>ROUND(入力!$B$5*C12,-3)</f>
        <v/>
      </c>
      <c r="F12" s="12" t="n">
        <v>1250000</v>
      </c>
      <c r="G12" s="8">
        <f>ROUND(F12*入力!$B$16/50000,0)*50000</f>
        <v/>
      </c>
      <c r="H12" s="8">
        <f>F12-D12*入力!$B$9-入力!$B$20/12-入力!$B$14</f>
        <v/>
      </c>
      <c r="I12" s="8">
        <f>SUM($H$6:H12)</f>
        <v/>
      </c>
      <c r="J12" s="8">
        <f>F12-'月別目標と営業利益'!F12</f>
        <v/>
      </c>
      <c r="K12" s="12" t="n"/>
      <c r="L12" s="11">
        <f>IF(K12="","",IF(K12&gt;=G12,2,IF(K12&gt;=F12,1,0)))</f>
        <v/>
      </c>
      <c r="M12" s="8">
        <f>IF(OR(L12="",L12=0),0,IF(L12=2,入力!$B$15,入力!$B$14))</f>
        <v/>
      </c>
    </row>
    <row r="13">
      <c r="A13" s="2" t="inlineStr">
        <is>
          <t>3月</t>
        </is>
      </c>
      <c r="B13" s="14" t="n">
        <v>5500000</v>
      </c>
      <c r="C13" s="16">
        <f>B13/SUM($B$6:$B$17)</f>
        <v/>
      </c>
      <c r="D13" s="12" t="n">
        <v>5800000</v>
      </c>
      <c r="E13" s="8">
        <f>ROUND(入力!$B$5*C13,-3)</f>
        <v/>
      </c>
      <c r="F13" s="12" t="n">
        <v>2000000</v>
      </c>
      <c r="G13" s="8">
        <f>ROUND(F13*入力!$B$16/50000,0)*50000</f>
        <v/>
      </c>
      <c r="H13" s="8">
        <f>F13-D13*入力!$B$9-入力!$B$20/12-入力!$B$14</f>
        <v/>
      </c>
      <c r="I13" s="8">
        <f>SUM($H$6:H13)</f>
        <v/>
      </c>
      <c r="J13" s="8">
        <f>F13-'月別目標と営業利益'!F13</f>
        <v/>
      </c>
      <c r="K13" s="12" t="n"/>
      <c r="L13" s="11">
        <f>IF(K13="","",IF(K13&gt;=G13,2,IF(K13&gt;=F13,1,0)))</f>
        <v/>
      </c>
      <c r="M13" s="8">
        <f>IF(OR(L13="",L13=0),0,IF(L13=2,入力!$B$15,入力!$B$14))</f>
        <v/>
      </c>
    </row>
    <row r="14">
      <c r="A14" s="2" t="inlineStr">
        <is>
          <t>4月</t>
        </is>
      </c>
      <c r="B14" s="14" t="n">
        <v>4500000</v>
      </c>
      <c r="C14" s="16">
        <f>B14/SUM($B$6:$B$17)</f>
        <v/>
      </c>
      <c r="D14" s="12" t="n">
        <v>4700000</v>
      </c>
      <c r="E14" s="8">
        <f>ROUND(入力!$B$5*C14,-3)</f>
        <v/>
      </c>
      <c r="F14" s="12" t="n">
        <v>1600000</v>
      </c>
      <c r="G14" s="8">
        <f>ROUND(F14*入力!$B$16/50000,0)*50000</f>
        <v/>
      </c>
      <c r="H14" s="8">
        <f>F14-D14*入力!$B$9-入力!$B$20/12-入力!$B$14</f>
        <v/>
      </c>
      <c r="I14" s="8">
        <f>SUM($H$6:H14)</f>
        <v/>
      </c>
      <c r="J14" s="8">
        <f>F14-'月別目標と営業利益'!F14</f>
        <v/>
      </c>
      <c r="K14" s="12" t="n"/>
      <c r="L14" s="11">
        <f>IF(K14="","",IF(K14&gt;=G14,2,IF(K14&gt;=F14,1,0)))</f>
        <v/>
      </c>
      <c r="M14" s="8">
        <f>IF(OR(L14="",L14=0),0,IF(L14=2,入力!$B$15,入力!$B$14))</f>
        <v/>
      </c>
    </row>
    <row r="15">
      <c r="A15" s="2" t="inlineStr">
        <is>
          <t>5月</t>
        </is>
      </c>
      <c r="B15" s="14" t="n">
        <v>4500000</v>
      </c>
      <c r="C15" s="16">
        <f>B15/SUM($B$6:$B$17)</f>
        <v/>
      </c>
      <c r="D15" s="12" t="n">
        <v>4700000</v>
      </c>
      <c r="E15" s="8">
        <f>ROUND(入力!$B$5*C15,-3)</f>
        <v/>
      </c>
      <c r="F15" s="12" t="n">
        <v>1600000</v>
      </c>
      <c r="G15" s="8">
        <f>ROUND(F15*入力!$B$16/50000,0)*50000</f>
        <v/>
      </c>
      <c r="H15" s="8">
        <f>F15-D15*入力!$B$9-入力!$B$20/12-入力!$B$14</f>
        <v/>
      </c>
      <c r="I15" s="8">
        <f>SUM($H$6:H15)</f>
        <v/>
      </c>
      <c r="J15" s="8">
        <f>F15-'月別目標と営業利益'!F15</f>
        <v/>
      </c>
      <c r="K15" s="12" t="n"/>
      <c r="L15" s="11">
        <f>IF(K15="","",IF(K15&gt;=G15,2,IF(K15&gt;=F15,1,0)))</f>
        <v/>
      </c>
      <c r="M15" s="8">
        <f>IF(OR(L15="",L15=0),0,IF(L15=2,入力!$B$15,入力!$B$14))</f>
        <v/>
      </c>
    </row>
    <row r="16">
      <c r="A16" s="2" t="inlineStr">
        <is>
          <t>6月</t>
        </is>
      </c>
      <c r="B16" s="14" t="n">
        <v>5500000</v>
      </c>
      <c r="C16" s="16">
        <f>B16/SUM($B$6:$B$17)</f>
        <v/>
      </c>
      <c r="D16" s="12" t="n">
        <v>5800000</v>
      </c>
      <c r="E16" s="8">
        <f>ROUND(入力!$B$5*C16,-3)</f>
        <v/>
      </c>
      <c r="F16" s="12" t="n">
        <v>2000000</v>
      </c>
      <c r="G16" s="8">
        <f>ROUND(F16*入力!$B$16/50000,0)*50000</f>
        <v/>
      </c>
      <c r="H16" s="8">
        <f>F16-D16*入力!$B$9-入力!$B$20/12-入力!$B$14</f>
        <v/>
      </c>
      <c r="I16" s="8">
        <f>SUM($H$6:H16)</f>
        <v/>
      </c>
      <c r="J16" s="8">
        <f>F16-'月別目標と営業利益'!F16</f>
        <v/>
      </c>
      <c r="K16" s="12" t="n"/>
      <c r="L16" s="11">
        <f>IF(K16="","",IF(K16&gt;=G16,2,IF(K16&gt;=F16,1,0)))</f>
        <v/>
      </c>
      <c r="M16" s="8">
        <f>IF(OR(L16="",L16=0),0,IF(L16=2,入力!$B$15,入力!$B$14))</f>
        <v/>
      </c>
    </row>
    <row r="17">
      <c r="A17" s="2" t="inlineStr">
        <is>
          <t>7月</t>
        </is>
      </c>
      <c r="B17" s="14" t="n">
        <v>4500000</v>
      </c>
      <c r="C17" s="16">
        <f>B17/SUM($B$6:$B$17)</f>
        <v/>
      </c>
      <c r="D17" s="12" t="n">
        <v>4700000</v>
      </c>
      <c r="E17" s="8">
        <f>ROUND(入力!$B$5*C17,-3)</f>
        <v/>
      </c>
      <c r="F17" s="12" t="n">
        <v>1600000</v>
      </c>
      <c r="G17" s="8">
        <f>ROUND(F17*入力!$B$16/50000,0)*50000</f>
        <v/>
      </c>
      <c r="H17" s="8">
        <f>F17-D17*入力!$B$9-入力!$B$20/12-入力!$B$14</f>
        <v/>
      </c>
      <c r="I17" s="8">
        <f>SUM($H$6:H17)</f>
        <v/>
      </c>
      <c r="J17" s="8">
        <f>F17-'月別目標と営業利益'!F17</f>
        <v/>
      </c>
      <c r="K17" s="12" t="n"/>
      <c r="L17" s="11">
        <f>IF(K17="","",IF(K17&gt;=G17,2,IF(K17&gt;=F17,1,0)))</f>
        <v/>
      </c>
      <c r="M17" s="8">
        <f>IF(OR(L17="",L17=0),0,IF(L17=2,入力!$B$15,入力!$B$14))</f>
        <v/>
      </c>
    </row>
    <row r="18">
      <c r="A18" s="3" t="inlineStr">
        <is>
          <t>年計</t>
        </is>
      </c>
      <c r="B18" s="10">
        <f>SUM(B6:B17)</f>
        <v/>
      </c>
      <c r="D18" s="10">
        <f>SUM(D6:D17)</f>
        <v/>
      </c>
      <c r="E18" s="10">
        <f>SUM(E6:E17)</f>
        <v/>
      </c>
      <c r="F18" s="10">
        <f>SUM(F6:F17)</f>
        <v/>
      </c>
      <c r="G18" s="10">
        <f>SUM(G6:G17)</f>
        <v/>
      </c>
      <c r="H18" s="10">
        <f>SUM(H6:H17)</f>
        <v/>
      </c>
      <c r="K18" s="10">
        <f>SUM(K6:K17)</f>
        <v/>
      </c>
      <c r="M18" s="10">
        <f>SUM(M6:M17)</f>
        <v/>
      </c>
    </row>
    <row r="19">
      <c r="A19" s="2" t="inlineStr">
        <is>
          <t>年間目標との差</t>
        </is>
      </c>
      <c r="D19" s="8">
        <f>D18-入力!B19</f>
        <v/>
      </c>
      <c r="F19" s="8">
        <f>F18-入力!B5</f>
        <v/>
      </c>
    </row>
    <row r="20">
      <c r="A20" s="2" t="inlineStr">
        <is>
          <t>（丸めた目標を直したら、D19とF19が0円になるように調整してください）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8" customWidth="1" min="3" max="3"/>
    <col width="16" customWidth="1" min="4" max="4"/>
    <col width="16" customWidth="1" min="5" max="5"/>
  </cols>
  <sheetData>
    <row r="1">
      <c r="A1" s="1" t="inlineStr">
        <is>
          <t>報奨金の設計（例B）</t>
        </is>
      </c>
    </row>
    <row r="2">
      <c r="A2" s="2" t="inlineStr">
        <is>
          <t>毎月、その月の粗利（スマレジ・税抜）が目標の100%以上で第1段階、105%以上で第2段階。店舗計を重みで配分。</t>
        </is>
      </c>
    </row>
    <row r="4" ht="32" customHeight="1">
      <c r="A4" s="5" t="inlineStr">
        <is>
          <t>区分</t>
        </is>
      </c>
      <c r="B4" s="5" t="inlineStr">
        <is>
          <t>人数</t>
        </is>
      </c>
      <c r="C4" s="5" t="inlineStr">
        <is>
          <t>重み</t>
        </is>
      </c>
      <c r="D4" s="5" t="inlineStr">
        <is>
          <t>第1段階（月額）</t>
        </is>
      </c>
      <c r="E4" s="5" t="inlineStr">
        <is>
          <t>第2段階（月額）</t>
        </is>
      </c>
    </row>
    <row r="5">
      <c r="A5" s="2" t="inlineStr">
        <is>
          <t>店長</t>
        </is>
      </c>
      <c r="B5" s="4" t="n">
        <v>1</v>
      </c>
      <c r="C5" s="4" t="n">
        <v>25</v>
      </c>
      <c r="D5" s="8">
        <f>ROUND(入力!$B$14*C5/SUMPRODUCT($B$5:$B$7,$C$5:$C$7),-2)</f>
        <v/>
      </c>
      <c r="E5" s="8">
        <f>ROUND(入力!$B$15*C5/SUMPRODUCT($B$5:$B$7,$C$5:$C$7),-2)</f>
        <v/>
      </c>
    </row>
    <row r="6">
      <c r="A6" s="2" t="inlineStr">
        <is>
          <t>古参パート</t>
        </is>
      </c>
      <c r="B6" s="4" t="n">
        <v>1</v>
      </c>
      <c r="C6" s="4" t="n">
        <v>20</v>
      </c>
      <c r="D6" s="8">
        <f>ROUND(入力!$B$14*C6/SUMPRODUCT($B$5:$B$7,$C$5:$C$7),-2)</f>
        <v/>
      </c>
      <c r="E6" s="8">
        <f>ROUND(入力!$B$15*C6/SUMPRODUCT($B$5:$B$7,$C$5:$C$7),-2)</f>
        <v/>
      </c>
    </row>
    <row r="7">
      <c r="A7" s="2" t="inlineStr">
        <is>
          <t>その他パート</t>
        </is>
      </c>
      <c r="B7" s="4" t="n">
        <v>2</v>
      </c>
      <c r="C7" s="4" t="n">
        <v>10</v>
      </c>
      <c r="D7" s="8">
        <f>ROUND(入力!$B$14*C7/SUMPRODUCT($B$5:$B$7,$C$5:$C$7),-2)</f>
        <v/>
      </c>
      <c r="E7" s="8">
        <f>ROUND(入力!$B$15*C7/SUMPRODUCT($B$5:$B$7,$C$5:$C$7),-2)</f>
        <v/>
      </c>
    </row>
    <row r="8">
      <c r="A8" s="3" t="inlineStr">
        <is>
          <t>店舗計（月）</t>
        </is>
      </c>
      <c r="B8" s="9">
        <f>SUM(B5:B7)</f>
        <v/>
      </c>
      <c r="D8" s="10">
        <f>SUMPRODUCT(B5:B7,D5:D7)</f>
        <v/>
      </c>
      <c r="E8" s="10">
        <f>SUMPRODUCT(B5:B7,E5:E7)</f>
        <v/>
      </c>
    </row>
    <row r="9">
      <c r="A9" s="3" t="inlineStr">
        <is>
          <t>全月達成した場合（年）</t>
        </is>
      </c>
      <c r="D9" s="10">
        <f>入力!B14*12</f>
        <v/>
      </c>
      <c r="E9" s="10">
        <f>入力!B15*12</f>
        <v/>
      </c>
    </row>
    <row r="11">
      <c r="A11" s="2" t="inlineStr">
        <is>
          <t>・判定は粗利額だけ（値引きで売上を作っても出ない）。処分品は粗利の計算から除く。</t>
        </is>
      </c>
    </row>
    <row r="12">
      <c r="A12" s="2" t="inlineStr">
        <is>
          <t>・判定は毎月、支払いは夏冬の賞与にまとめる案（社会保険・扶養への影響は社労士に確認）。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2026-10-01T08:24:39Z</dcterms:created>
  <dcterms:modified xsi:type="dcterms:W3CDTF">2026-10-01T08:24:39Z</dcterms:modified>
</cp:coreProperties>
</file>