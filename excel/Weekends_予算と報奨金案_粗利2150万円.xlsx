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力" sheetId="1" state="visible" r:id="rId1"/>
    <sheet name="年間損益" sheetId="2" state="visible" r:id="rId2"/>
    <sheet name="達成度別" sheetId="3" state="visible" r:id="rId3"/>
    <sheet name="粗利率別" sheetId="4" state="visible" r:id="rId4"/>
    <sheet name="月別目標と営業利益" sheetId="5" state="visible" r:id="rId5"/>
    <sheet name="報奨金（例B）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-"/>
    <numFmt numFmtId="165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</font>
    <font>
      <name val="Meiryo UI"/>
      <b val="1"/>
      <color rgb="00FFFFFF"/>
    </font>
    <font>
      <name val="Meiryo UI"/>
      <color rgb="000000FF"/>
    </font>
    <font>
      <name val="Meiryo UI"/>
      <b val="1"/>
    </font>
  </fonts>
  <fills count="5">
    <fill>
      <patternFill/>
    </fill>
    <fill>
      <patternFill patternType="gray125"/>
    </fill>
    <fill>
      <patternFill patternType="solid">
        <fgColor rgb="00073F5F"/>
      </patternFill>
    </fill>
    <fill>
      <patternFill patternType="solid">
        <fgColor rgb="00FFFF00"/>
      </patternFill>
    </fill>
    <fill>
      <patternFill patternType="solid">
        <fgColor rgb="00E3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4" fillId="3" borderId="0" pivotButton="0" quotePrefix="0" xfId="0"/>
    <xf numFmtId="165" fontId="4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9" fontId="4" fillId="3" borderId="0" pivotButton="0" quotePrefix="0" xfId="0"/>
    <xf numFmtId="164" fontId="5" fillId="0" borderId="0" pivotButton="0" quotePrefix="0" xfId="0"/>
    <xf numFmtId="1" fontId="2" fillId="0" borderId="0" pivotButton="0" quotePrefix="0" xfId="0"/>
    <xf numFmtId="1" fontId="4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達成度別の営業利益（報奨金後）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'達成度別'!E3</f>
            </strRef>
          </tx>
          <spPr>
            <a:ln>
              <a:prstDash val="solid"/>
            </a:ln>
          </spPr>
          <cat>
            <numRef>
              <f>'達成度別'!$A$4:$A$9</f>
            </numRef>
          </cat>
          <val>
            <numRef>
              <f>'達成度別'!$E$4:$E$9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月別の営業利益（100%達成時）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'月別目標と営業利益'!G4</f>
            </strRef>
          </tx>
          <spPr>
            <a:ln>
              <a:prstDash val="solid"/>
            </a:ln>
          </spPr>
          <cat>
            <numRef>
              <f>'月別目標と営業利益'!$A$5:$A$16</f>
            </numRef>
          </cat>
          <val>
            <numRef>
              <f>'月別目標と営業利益'!$G$5:$G$16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'月別目標と営業利益'!H4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'月別目標と営業利益'!$H$5:$H$16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</cols>
  <sheetData>
    <row r="1">
      <c r="A1" s="1" t="inlineStr">
        <is>
          <t>Weekends 2027年度 予算と報奨金案（粗利2,150万円）　入力値</t>
        </is>
      </c>
    </row>
    <row r="2">
      <c r="A2" s="2" t="inlineStr">
        <is>
          <t>青字・黄色＝入力値（変えると全シートが再計算）。金額はすべて税抜・円。</t>
        </is>
      </c>
    </row>
    <row r="4" ht="32" customHeight="1">
      <c r="A4" s="3" t="inlineStr">
        <is>
          <t>項目</t>
        </is>
      </c>
      <c r="B4" s="3" t="inlineStr">
        <is>
          <t>値</t>
        </is>
      </c>
      <c r="C4" s="3" t="inlineStr">
        <is>
          <t>出所・備考</t>
        </is>
      </c>
    </row>
    <row r="5">
      <c r="A5" s="2" t="inlineStr">
        <is>
          <t>年間の目標粗利</t>
        </is>
      </c>
      <c r="B5" s="4" t="n">
        <v>21500000</v>
      </c>
      <c r="C5" s="2" t="inlineStr">
        <is>
          <t>検討案</t>
        </is>
      </c>
    </row>
    <row r="6">
      <c r="A6" s="2" t="inlineStr">
        <is>
          <t>目標粗利率</t>
        </is>
      </c>
      <c r="B6" s="5" t="n">
        <v>0.35</v>
      </c>
      <c r="C6" s="2" t="inlineStr">
        <is>
          <t>検討案</t>
        </is>
      </c>
    </row>
    <row r="7">
      <c r="A7" s="2" t="inlineStr">
        <is>
          <t>人件費（月）</t>
        </is>
      </c>
      <c r="B7" s="4" t="n">
        <v>800000</v>
      </c>
      <c r="C7" s="2" t="inlineStr">
        <is>
          <t>年960万円（給与・賞与・法定福利込み）。報奨金は別枠</t>
        </is>
      </c>
    </row>
    <row r="8">
      <c r="A8" s="2" t="inlineStr">
        <is>
          <t>テナント経費の固定分（月）</t>
        </is>
      </c>
      <c r="B8" s="6" t="n">
        <v>209792</v>
      </c>
      <c r="C8" s="2" t="inlineStr">
        <is>
          <t>売上歩合制。前年12か月の回帰の切片</t>
        </is>
      </c>
    </row>
    <row r="9">
      <c r="A9" s="2" t="inlineStr">
        <is>
          <t>テナント経費の売上連動率</t>
        </is>
      </c>
      <c r="B9" s="7" t="n">
        <v>0.0692</v>
      </c>
      <c r="C9" s="2" t="inlineStr">
        <is>
          <t>同上の傾き（決定係数0.94）</t>
        </is>
      </c>
    </row>
    <row r="10">
      <c r="A10" s="2" t="inlineStr">
        <is>
          <t>その他の店舗経費（年）</t>
        </is>
      </c>
      <c r="B10" s="6" t="n">
        <v>3493268</v>
      </c>
      <c r="C10" s="2" t="inlineStr">
        <is>
          <t>管理諸費・減価償却・旅費など。前年実績（発展会計 営業部）</t>
        </is>
      </c>
    </row>
    <row r="11">
      <c r="A11" s="2" t="inlineStr">
        <is>
          <t>共通部の実費（年）</t>
        </is>
      </c>
      <c r="B11" s="6" t="n">
        <v>943852</v>
      </c>
      <c r="C11" s="2" t="inlineStr">
        <is>
          <t>主に租税公課。前年実績</t>
        </is>
      </c>
    </row>
    <row r="12">
      <c r="A12" s="2" t="inlineStr">
        <is>
          <t>本部費（月）</t>
        </is>
      </c>
      <c r="B12" s="6" t="n">
        <v>158000</v>
      </c>
      <c r="C12" s="2" t="inlineStr">
        <is>
          <t>管理会計の共通費（参考：営業利益には含めない）</t>
        </is>
      </c>
    </row>
    <row r="13">
      <c r="A13" s="2" t="inlineStr">
        <is>
          <t>営業外費用（年）</t>
        </is>
      </c>
      <c r="B13" s="6" t="n">
        <v>300000</v>
      </c>
      <c r="C13" s="2" t="inlineStr">
        <is>
          <t>社長案</t>
        </is>
      </c>
    </row>
    <row r="14">
      <c r="A14" s="2" t="inlineStr">
        <is>
          <t>報奨金 第1段階（店舗計・月）</t>
        </is>
      </c>
      <c r="B14" s="4" t="n">
        <v>30000</v>
      </c>
      <c r="C14" s="2" t="inlineStr">
        <is>
          <t>粗利が月の目標の100%以上（例B）</t>
        </is>
      </c>
    </row>
    <row r="15">
      <c r="A15" s="2" t="inlineStr">
        <is>
          <t>報奨金 第2段階（店舗計・月）</t>
        </is>
      </c>
      <c r="B15" s="4" t="n">
        <v>50000</v>
      </c>
      <c r="C15" s="2" t="inlineStr">
        <is>
          <t>粗利が月の目標の105%以上（例B）</t>
        </is>
      </c>
    </row>
    <row r="16">
      <c r="A16" s="2" t="inlineStr">
        <is>
          <t>第2段階のライン</t>
        </is>
      </c>
      <c r="B16" s="5" t="n">
        <v>1.05</v>
      </c>
      <c r="C16" s="2" t="inlineStr"/>
    </row>
    <row r="18">
      <c r="A18" s="8" t="inlineStr">
        <is>
          <t>計算値</t>
        </is>
      </c>
    </row>
    <row r="19">
      <c r="A19" s="2" t="inlineStr">
        <is>
          <t>年間の目標売上</t>
        </is>
      </c>
      <c r="B19" s="9">
        <f>ROUND(B5/B6,0)</f>
        <v/>
      </c>
      <c r="C19" s="2" t="inlineStr">
        <is>
          <t>粗利÷粗利率</t>
        </is>
      </c>
    </row>
    <row r="20">
      <c r="A20" s="2" t="inlineStr">
        <is>
          <t>年間の固定費</t>
        </is>
      </c>
      <c r="B20" s="9">
        <f>B7*12+B8*12+B10+B11</f>
        <v/>
      </c>
      <c r="C20" s="2" t="inlineStr">
        <is>
          <t>人件費＋テナント固定分＋その他の店舗経費＋共通部の実費</t>
        </is>
      </c>
    </row>
    <row r="21">
      <c r="A21" s="2" t="inlineStr">
        <is>
          <t>限界利益率</t>
        </is>
      </c>
      <c r="B21" s="10">
        <f>B6-B9</f>
        <v/>
      </c>
      <c r="C21" s="2" t="inlineStr">
        <is>
          <t>粗利率−テナント連動率</t>
        </is>
      </c>
    </row>
    <row r="22">
      <c r="A22" s="2" t="inlineStr">
        <is>
          <t>損益分岐の売上（報奨金前）</t>
        </is>
      </c>
      <c r="B22" s="9">
        <f>B20/B21</f>
        <v/>
      </c>
      <c r="C2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36" customWidth="1" min="4" max="4"/>
  </cols>
  <sheetData>
    <row r="1">
      <c r="A1" s="1" t="inlineStr">
        <is>
          <t>年間の損益計画（100%・105%達成）</t>
        </is>
      </c>
    </row>
    <row r="3" ht="32" customHeight="1">
      <c r="A3" s="3" t="inlineStr">
        <is>
          <t>項目</t>
        </is>
      </c>
      <c r="B3" s="3" t="inlineStr">
        <is>
          <t>100%達成</t>
        </is>
      </c>
      <c r="C3" s="3" t="inlineStr">
        <is>
          <t>105%達成</t>
        </is>
      </c>
      <c r="D3" s="3" t="inlineStr">
        <is>
          <t>内訳・計算</t>
        </is>
      </c>
    </row>
    <row r="4">
      <c r="A4" s="2" t="inlineStr">
        <is>
          <t>達成度</t>
        </is>
      </c>
      <c r="B4" s="10" t="n">
        <v>1</v>
      </c>
      <c r="C4" s="10">
        <f>入力!B16</f>
        <v/>
      </c>
      <c r="D4" s="2" t="inlineStr"/>
    </row>
    <row r="5">
      <c r="A5" s="2" t="inlineStr">
        <is>
          <t>売上</t>
        </is>
      </c>
      <c r="B5" s="9">
        <f>入力!$B$19*B4</f>
        <v/>
      </c>
      <c r="C5" s="9">
        <f>入力!$B$19*C4</f>
        <v/>
      </c>
      <c r="D5" s="2" t="inlineStr">
        <is>
          <t>粗利÷35%</t>
        </is>
      </c>
    </row>
    <row r="6">
      <c r="A6" s="2" t="inlineStr">
        <is>
          <t>粗利</t>
        </is>
      </c>
      <c r="B6" s="9">
        <f>入力!$B$5*B4</f>
        <v/>
      </c>
      <c r="C6" s="9">
        <f>入力!$B$5*C4</f>
        <v/>
      </c>
      <c r="D6" s="2" t="inlineStr"/>
    </row>
    <row r="7">
      <c r="A7" s="2" t="inlineStr">
        <is>
          <t>人件費</t>
        </is>
      </c>
      <c r="B7" s="9">
        <f>入力!$B$7*12</f>
        <v/>
      </c>
      <c r="C7" s="9">
        <f>入力!$B$7*12</f>
        <v/>
      </c>
      <c r="D7" s="2" t="inlineStr">
        <is>
          <t>月80万円</t>
        </is>
      </c>
    </row>
    <row r="8">
      <c r="A8" s="2" t="inlineStr">
        <is>
          <t>報奨金</t>
        </is>
      </c>
      <c r="B8" s="9">
        <f>入力!$B$14*12</f>
        <v/>
      </c>
      <c r="C8" s="9">
        <f>入力!$B$15*12</f>
        <v/>
      </c>
      <c r="D8" s="2" t="inlineStr">
        <is>
          <t>全月達成の場合</t>
        </is>
      </c>
    </row>
    <row r="9">
      <c r="A9" s="2" t="inlineStr">
        <is>
          <t>テナント経費</t>
        </is>
      </c>
      <c r="B9" s="9">
        <f>入力!$B$8*12+B5*入力!$B$9</f>
        <v/>
      </c>
      <c r="C9" s="9">
        <f>入力!$B$8*12+C5*入力!$B$9</f>
        <v/>
      </c>
      <c r="D9" s="2" t="inlineStr">
        <is>
          <t>固定分＋売上×連動率</t>
        </is>
      </c>
    </row>
    <row r="10">
      <c r="A10" s="2" t="inlineStr">
        <is>
          <t>その他の店舗経費</t>
        </is>
      </c>
      <c r="B10" s="9">
        <f>入力!$B$10</f>
        <v/>
      </c>
      <c r="C10" s="9">
        <f>入力!$B$10</f>
        <v/>
      </c>
      <c r="D10" s="2" t="inlineStr"/>
    </row>
    <row r="11">
      <c r="A11" s="2" t="inlineStr">
        <is>
          <t>共通部の実費</t>
        </is>
      </c>
      <c r="B11" s="9">
        <f>入力!$B$11</f>
        <v/>
      </c>
      <c r="C11" s="9">
        <f>入力!$B$11</f>
        <v/>
      </c>
      <c r="D11" s="2" t="inlineStr"/>
    </row>
    <row r="12">
      <c r="A12" s="2" t="inlineStr">
        <is>
          <t>販管費 計</t>
        </is>
      </c>
      <c r="B12" s="9">
        <f>SUM(B7:B11)</f>
        <v/>
      </c>
      <c r="C12" s="9">
        <f>SUM(C7:C11)</f>
        <v/>
      </c>
      <c r="D12" s="2" t="inlineStr"/>
    </row>
    <row r="13">
      <c r="A13" s="11" t="inlineStr">
        <is>
          <t>営業利益</t>
        </is>
      </c>
      <c r="B13" s="12">
        <f>B6-B12</f>
        <v/>
      </c>
      <c r="C13" s="12">
        <f>C6-C12</f>
        <v/>
      </c>
      <c r="D13" s="2" t="inlineStr"/>
    </row>
    <row r="14">
      <c r="A14" s="2" t="inlineStr">
        <is>
          <t>営業外費用</t>
        </is>
      </c>
      <c r="B14" s="9">
        <f>入力!$B$13</f>
        <v/>
      </c>
      <c r="C14" s="9">
        <f>入力!$B$13</f>
        <v/>
      </c>
      <c r="D14" s="2" t="inlineStr"/>
    </row>
    <row r="15">
      <c r="A15" s="11" t="inlineStr">
        <is>
          <t>経常利益</t>
        </is>
      </c>
      <c r="B15" s="12">
        <f>B13-B14</f>
        <v/>
      </c>
      <c r="C15" s="12">
        <f>C13-C14</f>
        <v/>
      </c>
      <c r="D15" s="2" t="inlineStr"/>
    </row>
    <row r="16">
      <c r="A16" s="2" t="inlineStr">
        <is>
          <t>参考：本部費込みの営業利益</t>
        </is>
      </c>
      <c r="B16" s="9">
        <f>B13+B11-入力!$B$12*12</f>
        <v/>
      </c>
      <c r="C16" s="9">
        <f>C13+C11-入力!$B$12*12</f>
        <v/>
      </c>
      <c r="D16" s="2" t="inlineStr">
        <is>
          <t>共通部の実費を本部費に置き換え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</cols>
  <sheetData>
    <row r="1">
      <c r="A1" s="1" t="inlineStr">
        <is>
          <t>達成度で営業利益がどう動くか（粗利率は入力値で一定）</t>
        </is>
      </c>
    </row>
    <row r="3" ht="32" customHeight="1">
      <c r="A3" s="3" t="inlineStr">
        <is>
          <t>達成度</t>
        </is>
      </c>
      <c r="B3" s="3" t="inlineStr">
        <is>
          <t>売上</t>
        </is>
      </c>
      <c r="C3" s="3" t="inlineStr">
        <is>
          <t>粗利</t>
        </is>
      </c>
      <c r="D3" s="3" t="inlineStr">
        <is>
          <t>報奨金（年）</t>
        </is>
      </c>
      <c r="E3" s="3" t="inlineStr">
        <is>
          <t>営業利益</t>
        </is>
      </c>
      <c r="F3" s="3" t="inlineStr">
        <is>
          <t>経常利益</t>
        </is>
      </c>
    </row>
    <row r="4">
      <c r="A4" s="13" t="n">
        <v>0.9</v>
      </c>
      <c r="B4" s="9">
        <f>入力!$B$19*A4</f>
        <v/>
      </c>
      <c r="C4" s="9">
        <f>入力!$B$5*A4</f>
        <v/>
      </c>
      <c r="D4" s="9">
        <f>IF(A4&gt;=入力!$B$16,入力!$B$15,IF(A4&gt;=1,入力!$B$14,0))*12</f>
        <v/>
      </c>
      <c r="E4" s="14">
        <f>C4-B4*入力!$B$9-入力!$B$20-D4</f>
        <v/>
      </c>
      <c r="F4" s="9">
        <f>E4-入力!$B$13</f>
        <v/>
      </c>
    </row>
    <row r="5">
      <c r="A5" s="13" t="n">
        <v>0.95</v>
      </c>
      <c r="B5" s="9">
        <f>入力!$B$19*A5</f>
        <v/>
      </c>
      <c r="C5" s="9">
        <f>入力!$B$5*A5</f>
        <v/>
      </c>
      <c r="D5" s="9">
        <f>IF(A5&gt;=入力!$B$16,入力!$B$15,IF(A5&gt;=1,入力!$B$14,0))*12</f>
        <v/>
      </c>
      <c r="E5" s="14">
        <f>C5-B5*入力!$B$9-入力!$B$20-D5</f>
        <v/>
      </c>
      <c r="F5" s="9">
        <f>E5-入力!$B$13</f>
        <v/>
      </c>
    </row>
    <row r="6">
      <c r="A6" s="13" t="n">
        <v>1</v>
      </c>
      <c r="B6" s="9">
        <f>入力!$B$19*A6</f>
        <v/>
      </c>
      <c r="C6" s="9">
        <f>入力!$B$5*A6</f>
        <v/>
      </c>
      <c r="D6" s="9">
        <f>IF(A6&gt;=入力!$B$16,入力!$B$15,IF(A6&gt;=1,入力!$B$14,0))*12</f>
        <v/>
      </c>
      <c r="E6" s="14">
        <f>C6-B6*入力!$B$9-入力!$B$20-D6</f>
        <v/>
      </c>
      <c r="F6" s="9">
        <f>E6-入力!$B$13</f>
        <v/>
      </c>
    </row>
    <row r="7">
      <c r="A7" s="13" t="n">
        <v>1.03</v>
      </c>
      <c r="B7" s="9">
        <f>入力!$B$19*A7</f>
        <v/>
      </c>
      <c r="C7" s="9">
        <f>入力!$B$5*A7</f>
        <v/>
      </c>
      <c r="D7" s="9">
        <f>IF(A7&gt;=入力!$B$16,入力!$B$15,IF(A7&gt;=1,入力!$B$14,0))*12</f>
        <v/>
      </c>
      <c r="E7" s="14">
        <f>C7-B7*入力!$B$9-入力!$B$20-D7</f>
        <v/>
      </c>
      <c r="F7" s="9">
        <f>E7-入力!$B$13</f>
        <v/>
      </c>
    </row>
    <row r="8">
      <c r="A8" s="13" t="n">
        <v>1.05</v>
      </c>
      <c r="B8" s="9">
        <f>入力!$B$19*A8</f>
        <v/>
      </c>
      <c r="C8" s="9">
        <f>入力!$B$5*A8</f>
        <v/>
      </c>
      <c r="D8" s="9">
        <f>IF(A8&gt;=入力!$B$16,入力!$B$15,IF(A8&gt;=1,入力!$B$14,0))*12</f>
        <v/>
      </c>
      <c r="E8" s="14">
        <f>C8-B8*入力!$B$9-入力!$B$20-D8</f>
        <v/>
      </c>
      <c r="F8" s="9">
        <f>E8-入力!$B$13</f>
        <v/>
      </c>
    </row>
    <row r="9">
      <c r="A9" s="13" t="n">
        <v>1.1</v>
      </c>
      <c r="B9" s="9">
        <f>入力!$B$19*A9</f>
        <v/>
      </c>
      <c r="C9" s="9">
        <f>入力!$B$5*A9</f>
        <v/>
      </c>
      <c r="D9" s="9">
        <f>IF(A9&gt;=入力!$B$16,入力!$B$15,IF(A9&gt;=1,入力!$B$14,0))*12</f>
        <v/>
      </c>
      <c r="E9" s="14">
        <f>C9-B9*入力!$B$9-入力!$B$20-D9</f>
        <v/>
      </c>
      <c r="F9" s="9">
        <f>E9-入力!$B$13</f>
        <v/>
      </c>
    </row>
    <row r="11">
      <c r="A11" s="2" t="inlineStr">
        <is>
          <t>予算を1%超えるごとの営業利益の増加</t>
        </is>
      </c>
      <c r="E11" s="9">
        <f>入力!B19*0.01*入力!B21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粗利率で営業利益がどう動くか（売上は予算どおり）</t>
        </is>
      </c>
    </row>
    <row r="3" ht="32" customHeight="1">
      <c r="A3" s="3" t="inlineStr">
        <is>
          <t>粗利率</t>
        </is>
      </c>
      <c r="B3" s="3" t="inlineStr">
        <is>
          <t>粗利</t>
        </is>
      </c>
      <c r="C3" s="3" t="inlineStr">
        <is>
          <t>報奨金（年）</t>
        </is>
      </c>
      <c r="D3" s="3" t="inlineStr">
        <is>
          <t>営業利益</t>
        </is>
      </c>
      <c r="E3" s="3" t="inlineStr">
        <is>
          <t>経常利益</t>
        </is>
      </c>
    </row>
    <row r="4">
      <c r="A4" s="13" t="n">
        <v>0.31</v>
      </c>
      <c r="B4" s="9">
        <f>入力!$B$19*A4</f>
        <v/>
      </c>
      <c r="C4" s="9">
        <f>IF(B4&gt;=入力!$B$5*入力!$B$16-1,入力!$B$15,IF(B4&gt;=入力!$B$5-1,入力!$B$14,0))*12</f>
        <v/>
      </c>
      <c r="D4" s="14">
        <f>B4-入力!$B$19*入力!$B$9-入力!$B$20-C4</f>
        <v/>
      </c>
      <c r="E4" s="9">
        <f>D4-入力!$B$13</f>
        <v/>
      </c>
    </row>
    <row r="5">
      <c r="A5" s="13" t="n">
        <v>0.33</v>
      </c>
      <c r="B5" s="9">
        <f>入力!$B$19*A5</f>
        <v/>
      </c>
      <c r="C5" s="9">
        <f>IF(B5&gt;=入力!$B$5*入力!$B$16-1,入力!$B$15,IF(B5&gt;=入力!$B$5-1,入力!$B$14,0))*12</f>
        <v/>
      </c>
      <c r="D5" s="14">
        <f>B5-入力!$B$19*入力!$B$9-入力!$B$20-C5</f>
        <v/>
      </c>
      <c r="E5" s="9">
        <f>D5-入力!$B$13</f>
        <v/>
      </c>
    </row>
    <row r="6">
      <c r="A6" s="13" t="n">
        <v>0.34</v>
      </c>
      <c r="B6" s="9">
        <f>入力!$B$19*A6</f>
        <v/>
      </c>
      <c r="C6" s="9">
        <f>IF(B6&gt;=入力!$B$5*入力!$B$16-1,入力!$B$15,IF(B6&gt;=入力!$B$5-1,入力!$B$14,0))*12</f>
        <v/>
      </c>
      <c r="D6" s="14">
        <f>B6-入力!$B$19*入力!$B$9-入力!$B$20-C6</f>
        <v/>
      </c>
      <c r="E6" s="9">
        <f>D6-入力!$B$13</f>
        <v/>
      </c>
    </row>
    <row r="7">
      <c r="A7" s="13" t="n">
        <v>0.35</v>
      </c>
      <c r="B7" s="9">
        <f>入力!$B$19*A7</f>
        <v/>
      </c>
      <c r="C7" s="9">
        <f>IF(B7&gt;=入力!$B$5*入力!$B$16-1,入力!$B$15,IF(B7&gt;=入力!$B$5-1,入力!$B$14,0))*12</f>
        <v/>
      </c>
      <c r="D7" s="14">
        <f>B7-入力!$B$19*入力!$B$9-入力!$B$20-C7</f>
        <v/>
      </c>
      <c r="E7" s="9">
        <f>D7-入力!$B$13</f>
        <v/>
      </c>
    </row>
    <row r="8">
      <c r="A8" s="13" t="n">
        <v>0.36</v>
      </c>
      <c r="B8" s="9">
        <f>入力!$B$19*A8</f>
        <v/>
      </c>
      <c r="C8" s="9">
        <f>IF(B8&gt;=入力!$B$5*入力!$B$16-1,入力!$B$15,IF(B8&gt;=入力!$B$5-1,入力!$B$14,0))*12</f>
        <v/>
      </c>
      <c r="D8" s="14">
        <f>B8-入力!$B$19*入力!$B$9-入力!$B$20-C8</f>
        <v/>
      </c>
      <c r="E8" s="9">
        <f>D8-入力!$B$13</f>
        <v/>
      </c>
    </row>
    <row r="9">
      <c r="A9" s="13" t="n">
        <v>0.37</v>
      </c>
      <c r="B9" s="9">
        <f>入力!$B$19*A9</f>
        <v/>
      </c>
      <c r="C9" s="9">
        <f>IF(B9&gt;=入力!$B$5*入力!$B$16-1,入力!$B$15,IF(B9&gt;=入力!$B$5-1,入力!$B$14,0))*12</f>
        <v/>
      </c>
      <c r="D9" s="14">
        <f>B9-入力!$B$19*入力!$B$9-入力!$B$20-C9</f>
        <v/>
      </c>
      <c r="E9" s="9">
        <f>D9-入力!$B$13</f>
        <v/>
      </c>
    </row>
    <row r="11">
      <c r="A11" s="2" t="inlineStr">
        <is>
          <t>粗利率1ポイントあたりの営業利益の変化</t>
        </is>
      </c>
      <c r="D11" s="9">
        <f>入力!B19*0.01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9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7" customWidth="1" min="10" max="10"/>
    <col width="12" customWidth="1" min="11" max="11"/>
  </cols>
  <sheetData>
    <row r="1">
      <c r="A1" s="1" t="inlineStr">
        <is>
          <t>月別の目標と営業利益（全月で100%達成した場合）</t>
        </is>
      </c>
    </row>
    <row r="2">
      <c r="A2" s="2" t="inlineStr">
        <is>
          <t>月の目標は前年（2025/8〜2026/7）の売上構成比で配分。固定費は12等分。黄色に実績粗利（スマレジ・税抜）を入れると段階と報奨金が出る。</t>
        </is>
      </c>
    </row>
    <row r="4" ht="32" customHeight="1">
      <c r="A4" s="3" t="inlineStr">
        <is>
          <t>月</t>
        </is>
      </c>
      <c r="B4" s="3" t="inlineStr">
        <is>
          <t>前年売上（参考）</t>
        </is>
      </c>
      <c r="C4" s="3" t="inlineStr">
        <is>
          <t>構成比</t>
        </is>
      </c>
      <c r="D4" s="3" t="inlineStr">
        <is>
          <t>目標売上</t>
        </is>
      </c>
      <c r="E4" s="3" t="inlineStr">
        <is>
          <t>粗利目標100%</t>
        </is>
      </c>
      <c r="F4" s="3" t="inlineStr">
        <is>
          <t>粗利目標105%</t>
        </is>
      </c>
      <c r="G4" s="3" t="inlineStr">
        <is>
          <t>営業利益（100%時）</t>
        </is>
      </c>
      <c r="H4" s="3" t="inlineStr">
        <is>
          <t>累計</t>
        </is>
      </c>
      <c r="I4" s="3" t="inlineStr">
        <is>
          <t>実績粗利</t>
        </is>
      </c>
      <c r="J4" s="3" t="inlineStr">
        <is>
          <t>段階</t>
        </is>
      </c>
      <c r="K4" s="3" t="inlineStr">
        <is>
          <t>報奨金</t>
        </is>
      </c>
    </row>
    <row r="5">
      <c r="A5" s="2" t="inlineStr">
        <is>
          <t>8月</t>
        </is>
      </c>
      <c r="B5" s="6" t="n">
        <v>3040292</v>
      </c>
      <c r="C5" s="10">
        <f>B5/SUM($B$5:$B$16)</f>
        <v/>
      </c>
      <c r="D5" s="9">
        <f>ROUND(入力!$B$19*C5,-3)</f>
        <v/>
      </c>
      <c r="E5" s="9">
        <f>ROUND(入力!$B$5*C5,-3)</f>
        <v/>
      </c>
      <c r="F5" s="9">
        <f>ROUND(E5*入力!$B$16,-3)</f>
        <v/>
      </c>
      <c r="G5" s="9">
        <f>E5-D5*入力!$B$9-入力!$B$20/12-入力!$B$14</f>
        <v/>
      </c>
      <c r="H5" s="9">
        <f>SUM($G$5:G5)</f>
        <v/>
      </c>
      <c r="I5" s="4" t="n"/>
      <c r="J5" s="15">
        <f>IF(I5="","",IF(I5&gt;=F5,2,IF(I5&gt;=E5,1,0)))</f>
        <v/>
      </c>
      <c r="K5" s="9">
        <f>IF(OR(J5="",J5=0),0,IF(J5=2,入力!$B$15,入力!$B$14))</f>
        <v/>
      </c>
    </row>
    <row r="6">
      <c r="A6" s="2" t="inlineStr">
        <is>
          <t>9月</t>
        </is>
      </c>
      <c r="B6" s="6" t="n">
        <v>3638478</v>
      </c>
      <c r="C6" s="10">
        <f>B6/SUM($B$5:$B$16)</f>
        <v/>
      </c>
      <c r="D6" s="9">
        <f>ROUND(入力!$B$19*C6,-3)</f>
        <v/>
      </c>
      <c r="E6" s="9">
        <f>ROUND(入力!$B$5*C6,-3)</f>
        <v/>
      </c>
      <c r="F6" s="9">
        <f>ROUND(E6*入力!$B$16,-3)</f>
        <v/>
      </c>
      <c r="G6" s="9">
        <f>E6-D6*入力!$B$9-入力!$B$20/12-入力!$B$14</f>
        <v/>
      </c>
      <c r="H6" s="9">
        <f>SUM($G$5:G6)</f>
        <v/>
      </c>
      <c r="I6" s="4" t="n"/>
      <c r="J6" s="15">
        <f>IF(I6="","",IF(I6&gt;=F6,2,IF(I6&gt;=E6,1,0)))</f>
        <v/>
      </c>
      <c r="K6" s="9">
        <f>IF(OR(J6="",J6=0),0,IF(J6=2,入力!$B$15,入力!$B$14))</f>
        <v/>
      </c>
    </row>
    <row r="7">
      <c r="A7" s="2" t="inlineStr">
        <is>
          <t>10月</t>
        </is>
      </c>
      <c r="B7" s="6" t="n">
        <v>4934704</v>
      </c>
      <c r="C7" s="10">
        <f>B7/SUM($B$5:$B$16)</f>
        <v/>
      </c>
      <c r="D7" s="9">
        <f>ROUND(入力!$B$19*C7,-3)</f>
        <v/>
      </c>
      <c r="E7" s="9">
        <f>ROUND(入力!$B$5*C7,-3)</f>
        <v/>
      </c>
      <c r="F7" s="9">
        <f>ROUND(E7*入力!$B$16,-3)</f>
        <v/>
      </c>
      <c r="G7" s="9">
        <f>E7-D7*入力!$B$9-入力!$B$20/12-入力!$B$14</f>
        <v/>
      </c>
      <c r="H7" s="9">
        <f>SUM($G$5:G7)</f>
        <v/>
      </c>
      <c r="I7" s="4" t="n"/>
      <c r="J7" s="15">
        <f>IF(I7="","",IF(I7&gt;=F7,2,IF(I7&gt;=E7,1,0)))</f>
        <v/>
      </c>
      <c r="K7" s="9">
        <f>IF(OR(J7="",J7=0),0,IF(J7=2,入力!$B$15,入力!$B$14))</f>
        <v/>
      </c>
    </row>
    <row r="8">
      <c r="A8" s="2" t="inlineStr">
        <is>
          <t>11月</t>
        </is>
      </c>
      <c r="B8" s="6" t="n">
        <v>5149749</v>
      </c>
      <c r="C8" s="10">
        <f>B8/SUM($B$5:$B$16)</f>
        <v/>
      </c>
      <c r="D8" s="9">
        <f>ROUND(入力!$B$19*C8,-3)</f>
        <v/>
      </c>
      <c r="E8" s="9">
        <f>ROUND(入力!$B$5*C8,-3)</f>
        <v/>
      </c>
      <c r="F8" s="9">
        <f>ROUND(E8*入力!$B$16,-3)</f>
        <v/>
      </c>
      <c r="G8" s="9">
        <f>E8-D8*入力!$B$9-入力!$B$20/12-入力!$B$14</f>
        <v/>
      </c>
      <c r="H8" s="9">
        <f>SUM($G$5:G8)</f>
        <v/>
      </c>
      <c r="I8" s="4" t="n"/>
      <c r="J8" s="15">
        <f>IF(I8="","",IF(I8&gt;=F8,2,IF(I8&gt;=E8,1,0)))</f>
        <v/>
      </c>
      <c r="K8" s="9">
        <f>IF(OR(J8="",J8=0),0,IF(J8=2,入力!$B$15,入力!$B$14))</f>
        <v/>
      </c>
    </row>
    <row r="9">
      <c r="A9" s="2" t="inlineStr">
        <is>
          <t>12月</t>
        </is>
      </c>
      <c r="B9" s="6" t="n">
        <v>6820952</v>
      </c>
      <c r="C9" s="10">
        <f>B9/SUM($B$5:$B$16)</f>
        <v/>
      </c>
      <c r="D9" s="9">
        <f>ROUND(入力!$B$19*C9,-3)</f>
        <v/>
      </c>
      <c r="E9" s="9">
        <f>ROUND(入力!$B$5*C9,-3)</f>
        <v/>
      </c>
      <c r="F9" s="9">
        <f>ROUND(E9*入力!$B$16,-3)</f>
        <v/>
      </c>
      <c r="G9" s="9">
        <f>E9-D9*入力!$B$9-入力!$B$20/12-入力!$B$14</f>
        <v/>
      </c>
      <c r="H9" s="9">
        <f>SUM($G$5:G9)</f>
        <v/>
      </c>
      <c r="I9" s="4" t="n"/>
      <c r="J9" s="15">
        <f>IF(I9="","",IF(I9&gt;=F9,2,IF(I9&gt;=E9,1,0)))</f>
        <v/>
      </c>
      <c r="K9" s="9">
        <f>IF(OR(J9="",J9=0),0,IF(J9=2,入力!$B$15,入力!$B$14))</f>
        <v/>
      </c>
    </row>
    <row r="10">
      <c r="A10" s="2" t="inlineStr">
        <is>
          <t>1月</t>
        </is>
      </c>
      <c r="B10" s="6" t="n">
        <v>4850701</v>
      </c>
      <c r="C10" s="10">
        <f>B10/SUM($B$5:$B$16)</f>
        <v/>
      </c>
      <c r="D10" s="9">
        <f>ROUND(入力!$B$19*C10,-3)</f>
        <v/>
      </c>
      <c r="E10" s="9">
        <f>ROUND(入力!$B$5*C10,-3)</f>
        <v/>
      </c>
      <c r="F10" s="9">
        <f>ROUND(E10*入力!$B$16,-3)</f>
        <v/>
      </c>
      <c r="G10" s="9">
        <f>E10-D10*入力!$B$9-入力!$B$20/12-入力!$B$14</f>
        <v/>
      </c>
      <c r="H10" s="9">
        <f>SUM($G$5:G10)</f>
        <v/>
      </c>
      <c r="I10" s="4" t="n"/>
      <c r="J10" s="15">
        <f>IF(I10="","",IF(I10&gt;=F10,2,IF(I10&gt;=E10,1,0)))</f>
        <v/>
      </c>
      <c r="K10" s="9">
        <f>IF(OR(J10="",J10=0),0,IF(J10=2,入力!$B$15,入力!$B$14))</f>
        <v/>
      </c>
    </row>
    <row r="11">
      <c r="A11" s="2" t="inlineStr">
        <is>
          <t>2月</t>
        </is>
      </c>
      <c r="B11" s="6" t="n">
        <v>2795656</v>
      </c>
      <c r="C11" s="10">
        <f>B11/SUM($B$5:$B$16)</f>
        <v/>
      </c>
      <c r="D11" s="9">
        <f>ROUND(入力!$B$19*C11,-3)</f>
        <v/>
      </c>
      <c r="E11" s="9">
        <f>ROUND(入力!$B$5*C11,-3)</f>
        <v/>
      </c>
      <c r="F11" s="9">
        <f>ROUND(E11*入力!$B$16,-3)</f>
        <v/>
      </c>
      <c r="G11" s="9">
        <f>E11-D11*入力!$B$9-入力!$B$20/12-入力!$B$14</f>
        <v/>
      </c>
      <c r="H11" s="9">
        <f>SUM($G$5:G11)</f>
        <v/>
      </c>
      <c r="I11" s="4" t="n"/>
      <c r="J11" s="15">
        <f>IF(I11="","",IF(I11&gt;=F11,2,IF(I11&gt;=E11,1,0)))</f>
        <v/>
      </c>
      <c r="K11" s="9">
        <f>IF(OR(J11="",J11=0),0,IF(J11=2,入力!$B$15,入力!$B$14))</f>
        <v/>
      </c>
    </row>
    <row r="12">
      <c r="A12" s="2" t="inlineStr">
        <is>
          <t>3月</t>
        </is>
      </c>
      <c r="B12" s="6" t="n">
        <v>4419804</v>
      </c>
      <c r="C12" s="10">
        <f>B12/SUM($B$5:$B$16)</f>
        <v/>
      </c>
      <c r="D12" s="9">
        <f>ROUND(入力!$B$19*C12,-3)</f>
        <v/>
      </c>
      <c r="E12" s="9">
        <f>ROUND(入力!$B$5*C12,-3)</f>
        <v/>
      </c>
      <c r="F12" s="9">
        <f>ROUND(E12*入力!$B$16,-3)</f>
        <v/>
      </c>
      <c r="G12" s="9">
        <f>E12-D12*入力!$B$9-入力!$B$20/12-入力!$B$14</f>
        <v/>
      </c>
      <c r="H12" s="9">
        <f>SUM($G$5:G12)</f>
        <v/>
      </c>
      <c r="I12" s="4" t="n"/>
      <c r="J12" s="15">
        <f>IF(I12="","",IF(I12&gt;=F12,2,IF(I12&gt;=E12,1,0)))</f>
        <v/>
      </c>
      <c r="K12" s="9">
        <f>IF(OR(J12="",J12=0),0,IF(J12=2,入力!$B$15,入力!$B$14))</f>
        <v/>
      </c>
    </row>
    <row r="13">
      <c r="A13" s="2" t="inlineStr">
        <is>
          <t>4月</t>
        </is>
      </c>
      <c r="B13" s="6" t="n">
        <v>3581469</v>
      </c>
      <c r="C13" s="10">
        <f>B13/SUM($B$5:$B$16)</f>
        <v/>
      </c>
      <c r="D13" s="9">
        <f>ROUND(入力!$B$19*C13,-3)</f>
        <v/>
      </c>
      <c r="E13" s="9">
        <f>ROUND(入力!$B$5*C13,-3)</f>
        <v/>
      </c>
      <c r="F13" s="9">
        <f>ROUND(E13*入力!$B$16,-3)</f>
        <v/>
      </c>
      <c r="G13" s="9">
        <f>E13-D13*入力!$B$9-入力!$B$20/12-入力!$B$14</f>
        <v/>
      </c>
      <c r="H13" s="9">
        <f>SUM($G$5:G13)</f>
        <v/>
      </c>
      <c r="I13" s="4" t="n"/>
      <c r="J13" s="15">
        <f>IF(I13="","",IF(I13&gt;=F13,2,IF(I13&gt;=E13,1,0)))</f>
        <v/>
      </c>
      <c r="K13" s="9">
        <f>IF(OR(J13="",J13=0),0,IF(J13=2,入力!$B$15,入力!$B$14))</f>
        <v/>
      </c>
    </row>
    <row r="14">
      <c r="A14" s="2" t="inlineStr">
        <is>
          <t>5月</t>
        </is>
      </c>
      <c r="B14" s="6" t="n">
        <v>4799124</v>
      </c>
      <c r="C14" s="10">
        <f>B14/SUM($B$5:$B$16)</f>
        <v/>
      </c>
      <c r="D14" s="9">
        <f>ROUND(入力!$B$19*C14,-3)</f>
        <v/>
      </c>
      <c r="E14" s="9">
        <f>ROUND(入力!$B$5*C14,-3)</f>
        <v/>
      </c>
      <c r="F14" s="9">
        <f>ROUND(E14*入力!$B$16,-3)</f>
        <v/>
      </c>
      <c r="G14" s="9">
        <f>E14-D14*入力!$B$9-入力!$B$20/12-入力!$B$14</f>
        <v/>
      </c>
      <c r="H14" s="9">
        <f>SUM($G$5:G14)</f>
        <v/>
      </c>
      <c r="I14" s="4" t="n"/>
      <c r="J14" s="15">
        <f>IF(I14="","",IF(I14&gt;=F14,2,IF(I14&gt;=E14,1,0)))</f>
        <v/>
      </c>
      <c r="K14" s="9">
        <f>IF(OR(J14="",J14=0),0,IF(J14=2,入力!$B$15,入力!$B$14))</f>
        <v/>
      </c>
    </row>
    <row r="15">
      <c r="A15" s="2" t="inlineStr">
        <is>
          <t>6月</t>
        </is>
      </c>
      <c r="B15" s="6" t="n">
        <v>4888307</v>
      </c>
      <c r="C15" s="10">
        <f>B15/SUM($B$5:$B$16)</f>
        <v/>
      </c>
      <c r="D15" s="9">
        <f>ROUND(入力!$B$19*C15,-3)</f>
        <v/>
      </c>
      <c r="E15" s="9">
        <f>ROUND(入力!$B$5*C15,-3)</f>
        <v/>
      </c>
      <c r="F15" s="9">
        <f>ROUND(E15*入力!$B$16,-3)</f>
        <v/>
      </c>
      <c r="G15" s="9">
        <f>E15-D15*入力!$B$9-入力!$B$20/12-入力!$B$14</f>
        <v/>
      </c>
      <c r="H15" s="9">
        <f>SUM($G$5:G15)</f>
        <v/>
      </c>
      <c r="I15" s="4" t="n"/>
      <c r="J15" s="15">
        <f>IF(I15="","",IF(I15&gt;=F15,2,IF(I15&gt;=E15,1,0)))</f>
        <v/>
      </c>
      <c r="K15" s="9">
        <f>IF(OR(J15="",J15=0),0,IF(J15=2,入力!$B$15,入力!$B$14))</f>
        <v/>
      </c>
    </row>
    <row r="16">
      <c r="A16" s="2" t="inlineStr">
        <is>
          <t>7月</t>
        </is>
      </c>
      <c r="B16" s="6" t="n">
        <v>4741065</v>
      </c>
      <c r="C16" s="10">
        <f>B16/SUM($B$5:$B$16)</f>
        <v/>
      </c>
      <c r="D16" s="9">
        <f>ROUND(入力!$B$19*C16,-3)</f>
        <v/>
      </c>
      <c r="E16" s="9">
        <f>ROUND(入力!$B$5*C16,-3)</f>
        <v/>
      </c>
      <c r="F16" s="9">
        <f>ROUND(E16*入力!$B$16,-3)</f>
        <v/>
      </c>
      <c r="G16" s="9">
        <f>E16-D16*入力!$B$9-入力!$B$20/12-入力!$B$14</f>
        <v/>
      </c>
      <c r="H16" s="9">
        <f>SUM($G$5:G16)</f>
        <v/>
      </c>
      <c r="I16" s="4" t="n"/>
      <c r="J16" s="15">
        <f>IF(I16="","",IF(I16&gt;=F16,2,IF(I16&gt;=E16,1,0)))</f>
        <v/>
      </c>
      <c r="K16" s="9">
        <f>IF(OR(J16="",J16=0),0,IF(J16=2,入力!$B$15,入力!$B$14))</f>
        <v/>
      </c>
    </row>
    <row r="17">
      <c r="A17" s="8" t="inlineStr">
        <is>
          <t>年計</t>
        </is>
      </c>
      <c r="B17" s="14">
        <f>SUM(B5:B16)</f>
        <v/>
      </c>
      <c r="D17" s="14">
        <f>SUM(D5:D16)</f>
        <v/>
      </c>
      <c r="E17" s="14">
        <f>SUM(E5:E16)</f>
        <v/>
      </c>
      <c r="F17" s="14">
        <f>SUM(F5:F16)</f>
        <v/>
      </c>
      <c r="G17" s="14">
        <f>SUM(G5:G16)</f>
        <v/>
      </c>
      <c r="I17" s="14">
        <f>SUM(I5:I16)</f>
        <v/>
      </c>
      <c r="K17" s="14">
        <f>SUM(K5:K16)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16" customWidth="1" min="4" max="4"/>
    <col width="16" customWidth="1" min="5" max="5"/>
  </cols>
  <sheetData>
    <row r="1">
      <c r="A1" s="1" t="inlineStr">
        <is>
          <t>報奨金の設計（例B）</t>
        </is>
      </c>
    </row>
    <row r="2">
      <c r="A2" s="2" t="inlineStr">
        <is>
          <t>毎月、その月の粗利（スマレジ・税抜）が目標の100%以上で第1段階、105%以上で第2段階。店舗計を重みで配分。</t>
        </is>
      </c>
    </row>
    <row r="4" ht="32" customHeight="1">
      <c r="A4" s="3" t="inlineStr">
        <is>
          <t>区分</t>
        </is>
      </c>
      <c r="B4" s="3" t="inlineStr">
        <is>
          <t>人数</t>
        </is>
      </c>
      <c r="C4" s="3" t="inlineStr">
        <is>
          <t>重み</t>
        </is>
      </c>
      <c r="D4" s="3" t="inlineStr">
        <is>
          <t>第1段階（月額）</t>
        </is>
      </c>
      <c r="E4" s="3" t="inlineStr">
        <is>
          <t>第2段階（月額）</t>
        </is>
      </c>
    </row>
    <row r="5">
      <c r="A5" s="2" t="inlineStr">
        <is>
          <t>店長</t>
        </is>
      </c>
      <c r="B5" s="16" t="n">
        <v>1</v>
      </c>
      <c r="C5" s="16" t="n">
        <v>25</v>
      </c>
      <c r="D5" s="9">
        <f>ROUND(入力!$B$14*C5/SUMPRODUCT($B$5:$B$7,$C$5:$C$7),-2)</f>
        <v/>
      </c>
      <c r="E5" s="9">
        <f>ROUND(入力!$B$15*C5/SUMPRODUCT($B$5:$B$7,$C$5:$C$7),-2)</f>
        <v/>
      </c>
    </row>
    <row r="6">
      <c r="A6" s="2" t="inlineStr">
        <is>
          <t>古参パート</t>
        </is>
      </c>
      <c r="B6" s="16" t="n">
        <v>1</v>
      </c>
      <c r="C6" s="16" t="n">
        <v>20</v>
      </c>
      <c r="D6" s="9">
        <f>ROUND(入力!$B$14*C6/SUMPRODUCT($B$5:$B$7,$C$5:$C$7),-2)</f>
        <v/>
      </c>
      <c r="E6" s="9">
        <f>ROUND(入力!$B$15*C6/SUMPRODUCT($B$5:$B$7,$C$5:$C$7),-2)</f>
        <v/>
      </c>
    </row>
    <row r="7">
      <c r="A7" s="2" t="inlineStr">
        <is>
          <t>その他パート</t>
        </is>
      </c>
      <c r="B7" s="16" t="n">
        <v>2</v>
      </c>
      <c r="C7" s="16" t="n">
        <v>10</v>
      </c>
      <c r="D7" s="9">
        <f>ROUND(入力!$B$14*C7/SUMPRODUCT($B$5:$B$7,$C$5:$C$7),-2)</f>
        <v/>
      </c>
      <c r="E7" s="9">
        <f>ROUND(入力!$B$15*C7/SUMPRODUCT($B$5:$B$7,$C$5:$C$7),-2)</f>
        <v/>
      </c>
    </row>
    <row r="8">
      <c r="A8" s="8" t="inlineStr">
        <is>
          <t>店舗計（月）</t>
        </is>
      </c>
      <c r="B8" s="17">
        <f>SUM(B5:B7)</f>
        <v/>
      </c>
      <c r="D8" s="14">
        <f>SUMPRODUCT(B5:B7,D5:D7)</f>
        <v/>
      </c>
      <c r="E8" s="14">
        <f>SUMPRODUCT(B5:B7,E5:E7)</f>
        <v/>
      </c>
    </row>
    <row r="9">
      <c r="A9" s="8" t="inlineStr">
        <is>
          <t>全月達成した場合（年）</t>
        </is>
      </c>
      <c r="D9" s="14">
        <f>入力!B14*12</f>
        <v/>
      </c>
      <c r="E9" s="14">
        <f>入力!B15*12</f>
        <v/>
      </c>
    </row>
    <row r="11">
      <c r="A11" s="2" t="inlineStr">
        <is>
          <t>・判定は粗利額だけ（値引きで売上を作っても出ない）。処分品は粗利の計算から除く。</t>
        </is>
      </c>
    </row>
    <row r="12">
      <c r="A12" s="2" t="inlineStr">
        <is>
          <t>・判定は毎月、支払いは夏冬の賞与にまとめる案（社会保険・扶養への影響は社労士に確認）。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2026-10-01T07:55:57Z</dcterms:created>
  <dcterms:modified xsi:type="dcterms:W3CDTF">2026-10-01T07:55:57Z</dcterms:modified>
</cp:coreProperties>
</file>