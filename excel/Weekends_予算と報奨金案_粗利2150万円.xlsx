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ataka-02\AppData\Local\Temp\claude\C--Users-yataka-02-Desktop-Claude\76fa42a7-01fc-42d8-86c7-11cf90447c56\scratchpad\margin-calculator\excel\"/>
    </mc:Choice>
  </mc:AlternateContent>
  <xr:revisionPtr revIDLastSave="0" documentId="13_ncr:1_{A9408D53-C28D-450B-AD43-39BFDE71A6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共通部あり・なし" sheetId="9" r:id="rId1"/>
    <sheet name="目標設定" sheetId="1" r:id="rId2"/>
    <sheet name="入力" sheetId="2" r:id="rId3"/>
    <sheet name="年間損益" sheetId="3" r:id="rId4"/>
    <sheet name="達成度別" sheetId="4" r:id="rId5"/>
    <sheet name="粗利率別" sheetId="5" r:id="rId6"/>
    <sheet name="月別目標と営業利益" sheetId="6" r:id="rId7"/>
    <sheet name="月別（スマレジ版）" sheetId="7" r:id="rId8"/>
    <sheet name="報奨金（例B）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9" l="1"/>
  <c r="A48" i="9"/>
  <c r="B47" i="9"/>
  <c r="A47" i="9"/>
  <c r="B46" i="9"/>
  <c r="A46" i="9"/>
  <c r="B45" i="9"/>
  <c r="A45" i="9"/>
  <c r="B44" i="9"/>
  <c r="A44" i="9"/>
  <c r="B43" i="9"/>
  <c r="A43" i="9"/>
  <c r="B42" i="9"/>
  <c r="B49" i="9" s="1"/>
  <c r="A42" i="9"/>
  <c r="B41" i="9"/>
  <c r="A41" i="9"/>
  <c r="B40" i="9"/>
  <c r="A40" i="9"/>
  <c r="B39" i="9"/>
  <c r="A39" i="9"/>
  <c r="B38" i="9"/>
  <c r="A38" i="9"/>
  <c r="B37" i="9"/>
  <c r="A37" i="9"/>
  <c r="A32" i="9"/>
  <c r="A31" i="9"/>
  <c r="A30" i="9"/>
  <c r="A29" i="9"/>
  <c r="A28" i="9"/>
  <c r="A27" i="9"/>
  <c r="G19" i="9"/>
  <c r="G17" i="9"/>
  <c r="G21" i="9" s="1"/>
  <c r="G22" i="9" s="1"/>
  <c r="G13" i="9"/>
  <c r="G10" i="9"/>
  <c r="G7" i="9"/>
  <c r="F19" i="9"/>
  <c r="F16" i="9"/>
  <c r="F21" i="9" s="1"/>
  <c r="F22" i="9" s="1"/>
  <c r="F13" i="9"/>
  <c r="F10" i="9"/>
  <c r="F8" i="9"/>
  <c r="F12" i="9" s="1"/>
  <c r="F7" i="9"/>
  <c r="E19" i="9"/>
  <c r="E13" i="9"/>
  <c r="E10" i="9"/>
  <c r="E7" i="9"/>
  <c r="D19" i="9"/>
  <c r="D17" i="9"/>
  <c r="D21" i="9" s="1"/>
  <c r="D22" i="9" s="1"/>
  <c r="D13" i="9"/>
  <c r="D10" i="9"/>
  <c r="D7" i="9"/>
  <c r="C19" i="9"/>
  <c r="C16" i="9"/>
  <c r="C21" i="9" s="1"/>
  <c r="C22" i="9" s="1"/>
  <c r="C13" i="9"/>
  <c r="C10" i="9"/>
  <c r="C14" i="9" s="1"/>
  <c r="C9" i="9"/>
  <c r="C7" i="9"/>
  <c r="C8" i="9" s="1"/>
  <c r="C12" i="9" s="1"/>
  <c r="B19" i="9"/>
  <c r="B13" i="9"/>
  <c r="B10" i="9"/>
  <c r="B7" i="9"/>
  <c r="E8" i="8"/>
  <c r="E9" i="8" s="1"/>
  <c r="D8" i="8"/>
  <c r="D9" i="8" s="1"/>
  <c r="B8" i="8"/>
  <c r="C7" i="8"/>
  <c r="C6" i="8"/>
  <c r="C5" i="8"/>
  <c r="K18" i="7"/>
  <c r="F18" i="7"/>
  <c r="F19" i="7" s="1"/>
  <c r="D18" i="7"/>
  <c r="D19" i="7" s="1"/>
  <c r="B18" i="7"/>
  <c r="L17" i="7"/>
  <c r="M17" i="7" s="1"/>
  <c r="J17" i="7"/>
  <c r="G17" i="7"/>
  <c r="C17" i="7"/>
  <c r="E17" i="7" s="1"/>
  <c r="L16" i="7"/>
  <c r="M16" i="7" s="1"/>
  <c r="J16" i="7"/>
  <c r="G16" i="7"/>
  <c r="C16" i="7"/>
  <c r="E16" i="7" s="1"/>
  <c r="L15" i="7"/>
  <c r="M15" i="7" s="1"/>
  <c r="J15" i="7"/>
  <c r="G15" i="7"/>
  <c r="C15" i="7"/>
  <c r="E15" i="7" s="1"/>
  <c r="L14" i="7"/>
  <c r="M14" i="7" s="1"/>
  <c r="J14" i="7"/>
  <c r="G14" i="7"/>
  <c r="C14" i="7"/>
  <c r="E14" i="7" s="1"/>
  <c r="L13" i="7"/>
  <c r="M13" i="7" s="1"/>
  <c r="J13" i="7"/>
  <c r="G13" i="7"/>
  <c r="C13" i="7"/>
  <c r="E13" i="7" s="1"/>
  <c r="L12" i="7"/>
  <c r="M12" i="7" s="1"/>
  <c r="J12" i="7"/>
  <c r="G12" i="7"/>
  <c r="C12" i="7"/>
  <c r="E12" i="7" s="1"/>
  <c r="L11" i="7"/>
  <c r="M11" i="7" s="1"/>
  <c r="J11" i="7"/>
  <c r="G11" i="7"/>
  <c r="D11" i="1" s="1"/>
  <c r="C11" i="7"/>
  <c r="E11" i="7" s="1"/>
  <c r="L10" i="7"/>
  <c r="M10" i="7" s="1"/>
  <c r="J10" i="7"/>
  <c r="G10" i="7"/>
  <c r="D10" i="1" s="1"/>
  <c r="C10" i="7"/>
  <c r="E10" i="7" s="1"/>
  <c r="L9" i="7"/>
  <c r="M9" i="7" s="1"/>
  <c r="J9" i="7"/>
  <c r="G9" i="7"/>
  <c r="D9" i="1" s="1"/>
  <c r="C9" i="7"/>
  <c r="E9" i="7" s="1"/>
  <c r="L8" i="7"/>
  <c r="M8" i="7" s="1"/>
  <c r="J8" i="7"/>
  <c r="G8" i="7"/>
  <c r="D8" i="1" s="1"/>
  <c r="C8" i="7"/>
  <c r="E8" i="7" s="1"/>
  <c r="L7" i="7"/>
  <c r="M7" i="7" s="1"/>
  <c r="J7" i="7"/>
  <c r="G7" i="7"/>
  <c r="C7" i="7"/>
  <c r="E7" i="7" s="1"/>
  <c r="L6" i="7"/>
  <c r="M6" i="7" s="1"/>
  <c r="J6" i="7"/>
  <c r="G6" i="7"/>
  <c r="C6" i="7"/>
  <c r="E6" i="7" s="1"/>
  <c r="J18" i="6"/>
  <c r="F18" i="6"/>
  <c r="F19" i="6" s="1"/>
  <c r="D18" i="6"/>
  <c r="D19" i="6" s="1"/>
  <c r="B18" i="6"/>
  <c r="K17" i="6"/>
  <c r="L17" i="6" s="1"/>
  <c r="G17" i="6"/>
  <c r="C17" i="6"/>
  <c r="E17" i="6" s="1"/>
  <c r="K16" i="6"/>
  <c r="L16" i="6" s="1"/>
  <c r="G16" i="6"/>
  <c r="C16" i="6"/>
  <c r="E16" i="6" s="1"/>
  <c r="K15" i="6"/>
  <c r="L15" i="6" s="1"/>
  <c r="G15" i="6"/>
  <c r="C15" i="6"/>
  <c r="E15" i="6" s="1"/>
  <c r="K14" i="6"/>
  <c r="L14" i="6" s="1"/>
  <c r="G14" i="6"/>
  <c r="C14" i="6"/>
  <c r="E14" i="6" s="1"/>
  <c r="K13" i="6"/>
  <c r="L13" i="6" s="1"/>
  <c r="G13" i="6"/>
  <c r="C13" i="6"/>
  <c r="E13" i="6" s="1"/>
  <c r="K12" i="6"/>
  <c r="L12" i="6" s="1"/>
  <c r="G12" i="6"/>
  <c r="C12" i="6"/>
  <c r="E12" i="6" s="1"/>
  <c r="K11" i="6"/>
  <c r="L11" i="6" s="1"/>
  <c r="G11" i="6"/>
  <c r="C11" i="6"/>
  <c r="E11" i="6" s="1"/>
  <c r="K10" i="6"/>
  <c r="L10" i="6" s="1"/>
  <c r="G10" i="6"/>
  <c r="C10" i="6"/>
  <c r="E10" i="6" s="1"/>
  <c r="K9" i="6"/>
  <c r="L9" i="6" s="1"/>
  <c r="G9" i="6"/>
  <c r="C9" i="6"/>
  <c r="E9" i="6" s="1"/>
  <c r="K8" i="6"/>
  <c r="L8" i="6" s="1"/>
  <c r="H8" i="6"/>
  <c r="G8" i="6"/>
  <c r="C8" i="6"/>
  <c r="E8" i="6" s="1"/>
  <c r="K7" i="6"/>
  <c r="L7" i="6" s="1"/>
  <c r="H7" i="6"/>
  <c r="G7" i="6"/>
  <c r="C7" i="6"/>
  <c r="E7" i="6" s="1"/>
  <c r="K6" i="6"/>
  <c r="L6" i="6" s="1"/>
  <c r="G6" i="6"/>
  <c r="C6" i="6"/>
  <c r="E6" i="6" s="1"/>
  <c r="D11" i="5"/>
  <c r="B9" i="5"/>
  <c r="B8" i="5"/>
  <c r="B6" i="5"/>
  <c r="B5" i="5"/>
  <c r="B4" i="5"/>
  <c r="C4" i="5" s="1"/>
  <c r="D4" i="5" s="1"/>
  <c r="E4" i="5" s="1"/>
  <c r="C9" i="4"/>
  <c r="B9" i="4"/>
  <c r="C8" i="4"/>
  <c r="B8" i="4"/>
  <c r="C7" i="4"/>
  <c r="B7" i="4"/>
  <c r="C6" i="4"/>
  <c r="B6" i="4"/>
  <c r="D5" i="4"/>
  <c r="C5" i="4"/>
  <c r="B5" i="4"/>
  <c r="D4" i="4"/>
  <c r="C4" i="4"/>
  <c r="B4" i="4"/>
  <c r="C14" i="3"/>
  <c r="B14" i="3"/>
  <c r="C11" i="3"/>
  <c r="B11" i="3"/>
  <c r="C10" i="3"/>
  <c r="B10" i="3"/>
  <c r="C7" i="3"/>
  <c r="B7" i="3"/>
  <c r="B6" i="3"/>
  <c r="B5" i="3"/>
  <c r="B9" i="3" s="1"/>
  <c r="C4" i="3"/>
  <c r="B20" i="2"/>
  <c r="B15" i="2"/>
  <c r="B14" i="2"/>
  <c r="C11" i="9" s="1"/>
  <c r="B6" i="2"/>
  <c r="D25" i="1"/>
  <c r="C25" i="1"/>
  <c r="B25" i="1"/>
  <c r="A25" i="1"/>
  <c r="D24" i="1"/>
  <c r="C24" i="1"/>
  <c r="B24" i="1"/>
  <c r="A24" i="1"/>
  <c r="D23" i="1"/>
  <c r="C23" i="1"/>
  <c r="B23" i="1"/>
  <c r="A23" i="1"/>
  <c r="B18" i="1"/>
  <c r="I17" i="1"/>
  <c r="H17" i="1"/>
  <c r="E17" i="1"/>
  <c r="G17" i="1" s="1"/>
  <c r="D17" i="1"/>
  <c r="C17" i="1"/>
  <c r="F17" i="1" s="1"/>
  <c r="I16" i="1"/>
  <c r="H16" i="1"/>
  <c r="E16" i="1"/>
  <c r="G16" i="1" s="1"/>
  <c r="D16" i="1"/>
  <c r="C16" i="1"/>
  <c r="F16" i="1" s="1"/>
  <c r="I15" i="1"/>
  <c r="H15" i="1"/>
  <c r="E15" i="1"/>
  <c r="G15" i="1" s="1"/>
  <c r="D15" i="1"/>
  <c r="C15" i="1"/>
  <c r="F15" i="1" s="1"/>
  <c r="I14" i="1"/>
  <c r="H14" i="1"/>
  <c r="E14" i="1"/>
  <c r="G14" i="1" s="1"/>
  <c r="D14" i="1"/>
  <c r="C14" i="1"/>
  <c r="F14" i="1" s="1"/>
  <c r="I13" i="1"/>
  <c r="H13" i="1"/>
  <c r="E13" i="1"/>
  <c r="G13" i="1" s="1"/>
  <c r="D13" i="1"/>
  <c r="C13" i="1"/>
  <c r="F13" i="1" s="1"/>
  <c r="I12" i="1"/>
  <c r="H12" i="1"/>
  <c r="E12" i="1"/>
  <c r="G12" i="1" s="1"/>
  <c r="D12" i="1"/>
  <c r="C12" i="1"/>
  <c r="F12" i="1" s="1"/>
  <c r="I11" i="1"/>
  <c r="H11" i="1"/>
  <c r="E11" i="1"/>
  <c r="G11" i="1" s="1"/>
  <c r="C11" i="1"/>
  <c r="F11" i="1" s="1"/>
  <c r="I10" i="1"/>
  <c r="H10" i="1"/>
  <c r="E10" i="1"/>
  <c r="G10" i="1" s="1"/>
  <c r="C10" i="1"/>
  <c r="F10" i="1" s="1"/>
  <c r="I9" i="1"/>
  <c r="H9" i="1"/>
  <c r="E9" i="1"/>
  <c r="G9" i="1" s="1"/>
  <c r="C9" i="1"/>
  <c r="F9" i="1" s="1"/>
  <c r="I8" i="1"/>
  <c r="H8" i="1"/>
  <c r="E8" i="1"/>
  <c r="G8" i="1" s="1"/>
  <c r="C8" i="1"/>
  <c r="F8" i="1" s="1"/>
  <c r="I7" i="1"/>
  <c r="H7" i="1"/>
  <c r="E7" i="1"/>
  <c r="G7" i="1" s="1"/>
  <c r="D7" i="1"/>
  <c r="C7" i="1"/>
  <c r="F7" i="1" s="1"/>
  <c r="I6" i="1"/>
  <c r="I18" i="1" s="1"/>
  <c r="H6" i="1"/>
  <c r="H18" i="1" s="1"/>
  <c r="E6" i="1"/>
  <c r="C6" i="1"/>
  <c r="E4" i="4" l="1"/>
  <c r="G18" i="6"/>
  <c r="E5" i="4"/>
  <c r="G11" i="9"/>
  <c r="G9" i="9"/>
  <c r="G8" i="9"/>
  <c r="G12" i="9" s="1"/>
  <c r="F11" i="9"/>
  <c r="F14" i="9" s="1"/>
  <c r="F9" i="9"/>
  <c r="E11" i="9"/>
  <c r="E9" i="9"/>
  <c r="E8" i="9"/>
  <c r="E12" i="9" s="1"/>
  <c r="D11" i="9"/>
  <c r="D9" i="9"/>
  <c r="D8" i="9"/>
  <c r="D12" i="9" s="1"/>
  <c r="B11" i="9"/>
  <c r="B9" i="9"/>
  <c r="B8" i="9"/>
  <c r="B12" i="9" s="1"/>
  <c r="H16" i="7"/>
  <c r="D47" i="9" s="1"/>
  <c r="H10" i="7"/>
  <c r="D41" i="9" s="1"/>
  <c r="H17" i="6"/>
  <c r="H15" i="6"/>
  <c r="H14" i="6"/>
  <c r="H11" i="6"/>
  <c r="H6" i="6"/>
  <c r="H14" i="7"/>
  <c r="D45" i="9" s="1"/>
  <c r="H13" i="7"/>
  <c r="D44" i="9" s="1"/>
  <c r="H12" i="7"/>
  <c r="D43" i="9" s="1"/>
  <c r="H11" i="7"/>
  <c r="D42" i="9" s="1"/>
  <c r="H9" i="7"/>
  <c r="D40" i="9" s="1"/>
  <c r="H8" i="7"/>
  <c r="D39" i="9" s="1"/>
  <c r="H15" i="7"/>
  <c r="D46" i="9" s="1"/>
  <c r="H6" i="7"/>
  <c r="H16" i="6"/>
  <c r="H13" i="6"/>
  <c r="H12" i="6"/>
  <c r="H10" i="6"/>
  <c r="H9" i="6"/>
  <c r="H7" i="7"/>
  <c r="D38" i="9" s="1"/>
  <c r="B21" i="2"/>
  <c r="A7" i="5"/>
  <c r="B7" i="5" s="1"/>
  <c r="C15" i="9"/>
  <c r="C18" i="9" s="1"/>
  <c r="C20" i="9" s="1"/>
  <c r="G18" i="7"/>
  <c r="D6" i="1"/>
  <c r="D18" i="1" s="1"/>
  <c r="I7" i="6"/>
  <c r="I8" i="6"/>
  <c r="C9" i="5"/>
  <c r="D9" i="5" s="1"/>
  <c r="E9" i="5" s="1"/>
  <c r="C8" i="5"/>
  <c r="D8" i="5" s="1"/>
  <c r="E8" i="5" s="1"/>
  <c r="C7" i="5"/>
  <c r="D7" i="5" s="1"/>
  <c r="E7" i="5" s="1"/>
  <c r="C6" i="5"/>
  <c r="D6" i="5" s="1"/>
  <c r="E6" i="5" s="1"/>
  <c r="C5" i="5"/>
  <c r="D5" i="5" s="1"/>
  <c r="E5" i="5" s="1"/>
  <c r="C5" i="3"/>
  <c r="C9" i="3" s="1"/>
  <c r="C6" i="3"/>
  <c r="H17" i="7"/>
  <c r="D48" i="9" s="1"/>
  <c r="B22" i="2"/>
  <c r="C8" i="3"/>
  <c r="D8" i="4"/>
  <c r="E8" i="4" s="1"/>
  <c r="D9" i="4"/>
  <c r="E9" i="4" s="1"/>
  <c r="B8" i="3"/>
  <c r="B12" i="3" s="1"/>
  <c r="B13" i="3" s="1"/>
  <c r="D7" i="4"/>
  <c r="E7" i="4" s="1"/>
  <c r="D6" i="4"/>
  <c r="E6" i="4" s="1"/>
  <c r="G6" i="1"/>
  <c r="E18" i="1"/>
  <c r="E19" i="1" s="1"/>
  <c r="F6" i="1"/>
  <c r="C18" i="1"/>
  <c r="C19" i="1" s="1"/>
  <c r="M18" i="7"/>
  <c r="E18" i="7"/>
  <c r="L18" i="6"/>
  <c r="E18" i="6"/>
  <c r="C27" i="9" l="1"/>
  <c r="F4" i="4"/>
  <c r="C28" i="9"/>
  <c r="F5" i="4"/>
  <c r="E47" i="9"/>
  <c r="C47" i="9"/>
  <c r="C41" i="9"/>
  <c r="E41" i="9"/>
  <c r="I11" i="6"/>
  <c r="I16" i="6"/>
  <c r="I6" i="6"/>
  <c r="E45" i="9"/>
  <c r="C45" i="9"/>
  <c r="E44" i="9"/>
  <c r="C44" i="9"/>
  <c r="C43" i="9"/>
  <c r="E43" i="9"/>
  <c r="C42" i="9"/>
  <c r="E42" i="9"/>
  <c r="C40" i="9"/>
  <c r="E40" i="9"/>
  <c r="C39" i="9"/>
  <c r="E39" i="9"/>
  <c r="C46" i="9"/>
  <c r="E46" i="9"/>
  <c r="I11" i="7"/>
  <c r="D37" i="9"/>
  <c r="C38" i="9"/>
  <c r="E38" i="9"/>
  <c r="B21" i="9"/>
  <c r="B22" i="9" s="1"/>
  <c r="E21" i="9"/>
  <c r="E22" i="9" s="1"/>
  <c r="E11" i="4"/>
  <c r="D14" i="9"/>
  <c r="D15" i="9" s="1"/>
  <c r="D18" i="9" s="1"/>
  <c r="D20" i="9" s="1"/>
  <c r="B14" i="9"/>
  <c r="B15" i="9" s="1"/>
  <c r="B18" i="9" s="1"/>
  <c r="B20" i="9" s="1"/>
  <c r="E14" i="9"/>
  <c r="E15" i="9" s="1"/>
  <c r="E18" i="9" s="1"/>
  <c r="E20" i="9" s="1"/>
  <c r="F15" i="9"/>
  <c r="F18" i="9" s="1"/>
  <c r="F20" i="9" s="1"/>
  <c r="G14" i="9"/>
  <c r="G15" i="9" s="1"/>
  <c r="G18" i="9" s="1"/>
  <c r="G20" i="9" s="1"/>
  <c r="H18" i="7"/>
  <c r="I13" i="7"/>
  <c r="I16" i="7"/>
  <c r="I7" i="7"/>
  <c r="I14" i="7"/>
  <c r="I17" i="7"/>
  <c r="I6" i="7"/>
  <c r="I12" i="7"/>
  <c r="I8" i="7"/>
  <c r="I10" i="7"/>
  <c r="I9" i="7"/>
  <c r="I15" i="7"/>
  <c r="I14" i="6"/>
  <c r="I15" i="6"/>
  <c r="I17" i="6"/>
  <c r="H18" i="6"/>
  <c r="I12" i="6"/>
  <c r="I9" i="6"/>
  <c r="I10" i="6"/>
  <c r="I13" i="6"/>
  <c r="C48" i="9"/>
  <c r="E48" i="9"/>
  <c r="F8" i="4"/>
  <c r="C31" i="9"/>
  <c r="F9" i="4"/>
  <c r="C32" i="9"/>
  <c r="F7" i="4"/>
  <c r="C30" i="9"/>
  <c r="F6" i="4"/>
  <c r="C29" i="9"/>
  <c r="B16" i="3"/>
  <c r="B15" i="3"/>
  <c r="C12" i="3"/>
  <c r="C13" i="3" s="1"/>
  <c r="B27" i="9" l="1"/>
  <c r="E27" i="9" s="1"/>
  <c r="D27" i="9"/>
  <c r="B28" i="9"/>
  <c r="E28" i="9" s="1"/>
  <c r="D28" i="9"/>
  <c r="C37" i="9"/>
  <c r="E37" i="9"/>
  <c r="D50" i="9"/>
  <c r="D49" i="9"/>
  <c r="B31" i="9"/>
  <c r="E31" i="9" s="1"/>
  <c r="D31" i="9"/>
  <c r="B32" i="9"/>
  <c r="E32" i="9" s="1"/>
  <c r="D32" i="9"/>
  <c r="B30" i="9"/>
  <c r="E30" i="9" s="1"/>
  <c r="D30" i="9"/>
  <c r="B29" i="9"/>
  <c r="E29" i="9" s="1"/>
  <c r="D29" i="9"/>
  <c r="C16" i="3"/>
  <c r="C15" i="3"/>
  <c r="C50" i="9" l="1"/>
  <c r="C49" i="9"/>
  <c r="E50" i="9"/>
  <c r="E49" i="9"/>
</calcChain>
</file>

<file path=xl/sharedStrings.xml><?xml version="1.0" encoding="utf-8"?>
<sst xmlns="http://schemas.openxmlformats.org/spreadsheetml/2006/main" count="241" uniqueCount="163">
  <si>
    <t>Weekends 2027年度 月別目標（売上6,300万円・粗利2,150万円・税抜）</t>
  </si>
  <si>
    <t>金額はすべて税抜。判定はスマレジの粗利（税抜）で毎月行う。</t>
  </si>
  <si>
    <t>目標の配分</t>
  </si>
  <si>
    <t>1＝スマレジ版（店長が登録した予算の月比率・おすすめ）　2＝構成比版（前年の売上構成比）</t>
  </si>
  <si>
    <t>月</t>
  </si>
  <si>
    <t>日数</t>
  </si>
  <si>
    <t>粗利目標（100%）</t>
  </si>
  <si>
    <t>粗利目標（105%）</t>
  </si>
  <si>
    <t>売上目標</t>
  </si>
  <si>
    <t>1日あたり粗利目標</t>
  </si>
  <si>
    <t>1日あたり売上目標</t>
  </si>
  <si>
    <t>報奨金 第1段階（店舗計）</t>
  </si>
  <si>
    <t>報奨金 第2段階（店舗計）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</si>
  <si>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</si>
  <si>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</si>
  <si>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</si>
  <si>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</si>
  <si>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</si>
  <si>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</si>
  <si>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</si>
  <si>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</si>
  <si>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</si>
  <si>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</si>
  <si>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</si>
  <si>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7月</t>
  </si>
  <si>
    <t>年計</t>
  </si>
  <si>
    <t>年間目標との差</t>
  </si>
  <si>
    <t>1人あたりの報奨金（月額）</t>
  </si>
  <si>
    <t>区分</t>
  </si>
  <si>
    <t>人数</t>
  </si>
  <si>
    <t>第1段階（100%以上）</t>
  </si>
  <si>
    <t>第2段階（105%以上）</t>
  </si>
  <si>
    <t>ルール</t>
  </si>
  <si>
    <t>・その月の粗利（スマレジ・税抜）が「粗利目標（100%）」以上で第1段階、「粗利目標（105%）」以上で第2段階。売上目標は判定に使わない（目安）。</t>
  </si>
  <si>
    <t>・判定は粗利額だけ。値引きで売上を作っても報奨金は出ない。処分品は粗利の計算から除く。</t>
  </si>
  <si>
    <t>・判定は毎月、支払いは夏冬の賞与にまとめる案（社会保険・扶養への影響は社労士に確認）。</t>
  </si>
  <si>
    <t>・日数は暦日。定休日を除いた営業日数にしたい場合は青字の日数を書き換える。</t>
  </si>
  <si>
    <t>Weekends 2027年度 予算と報奨金案（売上6,300万円・粗利2,150万円）　入力値</t>
  </si>
  <si>
    <t>青字・黄色＝入力値（変えると全シートが再計算）。金額はすべて税抜・円。</t>
  </si>
  <si>
    <t>項目</t>
  </si>
  <si>
    <t>値</t>
  </si>
  <si>
    <t>出所・備考</t>
  </si>
  <si>
    <t>年間の目標粗利</t>
  </si>
  <si>
    <t>検討案</t>
  </si>
  <si>
    <t>目標粗利率（粗利÷売上）</t>
  </si>
  <si>
    <t>計算値：2,150万円÷6,300万円</t>
  </si>
  <si>
    <t>人件費（月）</t>
  </si>
  <si>
    <t>年960万円（給与・賞与・法定福利込み）。報奨金は別枠</t>
  </si>
  <si>
    <t>テナント経費の固定分（月）</t>
  </si>
  <si>
    <t>売上歩合制。前年12か月の回帰の切片</t>
  </si>
  <si>
    <t>テナント経費の売上連動率</t>
  </si>
  <si>
    <t>同上の傾き（決定係数0.94）</t>
  </si>
  <si>
    <t>その他の店舗経費（年）</t>
  </si>
  <si>
    <t>管理諸費・減価償却・旅費など。前年実績（発展会計 営業部）</t>
  </si>
  <si>
    <t>共通部の実費（年）</t>
  </si>
  <si>
    <t>主に租税公課。前年実績</t>
  </si>
  <si>
    <t>本部費（月）</t>
  </si>
  <si>
    <t>管理会計の共通費（参考：営業利益には含めない）</t>
  </si>
  <si>
    <t>営業外費用（年）</t>
  </si>
  <si>
    <t>社長案</t>
  </si>
  <si>
    <t>報奨金 第1段階（店舗計・月）</t>
  </si>
  <si>
    <t>粗利が月の目標の100%以上。1人あたりの額は「報奨金（例B）」シートで入力</t>
  </si>
  <si>
    <t>報奨金 第2段階（店舗計・月）</t>
  </si>
  <si>
    <t>粗利が月の目標の105%以上。同上</t>
  </si>
  <si>
    <t>第2段階のライン</t>
  </si>
  <si>
    <t>計算値</t>
  </si>
  <si>
    <t>年間の目標売上</t>
  </si>
  <si>
    <t>検討案（税抜）</t>
  </si>
  <si>
    <t>年間の固定費</t>
  </si>
  <si>
    <t>人件費＋テナント固定分＋その他の店舗経費＋共通部の実費</t>
  </si>
  <si>
    <t>限界利益率</t>
  </si>
  <si>
    <t>粗利率−テナント連動率</t>
  </si>
  <si>
    <t>損益分岐の売上（報奨金前）</t>
  </si>
  <si>
    <t>年間の損益計画（100%・105%達成）</t>
  </si>
  <si>
    <t>100%達成</t>
  </si>
  <si>
    <t>105%達成</t>
  </si>
  <si>
    <t>内訳・計算</t>
  </si>
  <si>
    <t>達成度</t>
  </si>
  <si>
    <t>売上</t>
  </si>
  <si>
    <t>年6,300万円×達成度</t>
  </si>
  <si>
    <t>粗利</t>
  </si>
  <si>
    <t>人件費</t>
  </si>
  <si>
    <t>月80万円</t>
  </si>
  <si>
    <t>報奨金</t>
  </si>
  <si>
    <t>全月達成の場合</t>
  </si>
  <si>
    <t>テナント経費</t>
  </si>
  <si>
    <t>固定分＋売上×連動率</t>
  </si>
  <si>
    <t>その他の店舗経費</t>
  </si>
  <si>
    <t>共通部の実費</t>
  </si>
  <si>
    <t>販管費 計</t>
  </si>
  <si>
    <t>営業利益</t>
  </si>
  <si>
    <t>営業外費用</t>
  </si>
  <si>
    <t>経常利益</t>
  </si>
  <si>
    <t>参考：本部費込みの営業利益</t>
  </si>
  <si>
    <t>共通部の実費を本部費に置き換え</t>
  </si>
  <si>
    <t>達成度で営業利益がどう動くか（粗利率は入力値で一定）</t>
  </si>
  <si>
    <t>報奨金（年）</t>
  </si>
  <si>
    <t>予算を1%超えるごとの営業利益の増加</t>
  </si>
  <si>
    <t>粗利率で営業利益がどう動くか（売上は予算どおり）</t>
  </si>
  <si>
    <t>粗利率</t>
  </si>
  <si>
    <t>粗利率1ポイントあたりの営業利益の変化</t>
  </si>
  <si>
    <t>月別の目標と営業利益　構成比版（全月で100%達成した場合）</t>
  </si>
  <si>
    <t>月の目標は前年（2025/8〜2026/7）の売上構成比で配分。固定費は12等分。黄色の実績粗利（スマレジ・税抜）を入れると段階と報奨金が出る。</t>
  </si>
  <si>
    <t>黄色の「売上目標」は10万円単位（年計6,300万円）、「粗利目標100%」は5万円単位（年計2,150万円）に丸めた目標。105%は5万円単位。</t>
  </si>
  <si>
    <t>前年売上（参考）</t>
  </si>
  <si>
    <t>比率</t>
  </si>
  <si>
    <t>粗利目標（丸め前）</t>
  </si>
  <si>
    <t>粗利目標100%</t>
  </si>
  <si>
    <t>粗利目標105%</t>
  </si>
  <si>
    <t>営業利益（100%時）</t>
  </si>
  <si>
    <t>累計</t>
  </si>
  <si>
    <t>実績粗利</t>
  </si>
  <si>
    <t>段階</t>
  </si>
  <si>
    <t>（丸めた目標を直したら、D19とF19が0円になるように調整してください）</t>
  </si>
  <si>
    <t>月別の目標と営業利益　スマレジ版（全月で100%達成した場合）</t>
  </si>
  <si>
    <t>月の目標は、店長がスマレジに登録した店舗予算（年6,000万円・税抜）の月比率で配分。同じ予算額の月は同じ目標にそろえた。</t>
  </si>
  <si>
    <t>スマレジ予算（参考）</t>
  </si>
  <si>
    <t>構成比版との差（粗利目標）</t>
  </si>
  <si>
    <t>報奨金の設計（例B）</t>
  </si>
  <si>
    <t>毎月、その月の粗利（スマレジ・税抜）が目標の100%以上で第1段階、105%以上で第2段階。黄色の1人あたり月額を直接入力（店舗計は自動で入力シートに反映）。</t>
  </si>
  <si>
    <t>店舗計に占める割合</t>
  </si>
  <si>
    <t>第1段階 1人月額（100%以上）</t>
  </si>
  <si>
    <t>第2段階 1人月額（105%以上）</t>
  </si>
  <si>
    <t>店長</t>
  </si>
  <si>
    <t>古参パート</t>
  </si>
  <si>
    <t>その他パート</t>
  </si>
  <si>
    <t>店舗計（月）</t>
  </si>
  <si>
    <t>全月達成した場合（年）</t>
  </si>
  <si>
    <t>（第1段階は社長案の店舗計3万円を店長1.2万・古参0.8万・パート各0.5万で配分。第2段階は同じ比率で5万円を配分）</t>
  </si>
  <si>
    <t>・判定は粗利額だけ（値引きで売上を作っても出ない）。処分品は粗利の計算から除く。</t>
  </si>
  <si>
    <t>共通部の実費を入れた場合・入れない場合の損益比較</t>
  </si>
  <si>
    <t>共通部の実費＝発展会計の共通部（主に租税公課、年943,852円・前年実績）。「なし」は店舗だけの損益、「あり」は現在の計画、「本部費込み」は共通部の実費の代わりに管理会計の本部費（月15.8万円）を負担した場合（参考）。金額はすべて税抜・円。</t>
  </si>
  <si>
    <t>※租税公課の中身（消費税の納付かどうか）は未確認。確認結果で「入力」シートB11を直すと、この表も自動で変わる。</t>
  </si>
  <si>
    <t>1. 年間の損益（全月で同じ達成度の場合）</t>
  </si>
  <si>
    <t>計算</t>
  </si>
  <si>
    <t>店舗の費用 計</t>
  </si>
  <si>
    <t>店舗の利益（共通部・本部費を引く前）</t>
  </si>
  <si>
    <t>本部費</t>
  </si>
  <si>
    <t>損益分岐の達成度</t>
  </si>
  <si>
    <t>年間の目標売上×達成度</t>
  </si>
  <si>
    <t>年間の目標粗利×達成度</t>
  </si>
  <si>
    <t>月80万円×12</t>
  </si>
  <si>
    <t>固定分×12＋売上×連動率</t>
  </si>
  <si>
    <t>人件費〜その他の店舗経費</t>
  </si>
  <si>
    <t>粗利−店舗の費用 計</t>
  </si>
  <si>
    <t>「あり」だけ計上</t>
  </si>
  <si>
    <t>「本部費込み」だけ計上（月15.8万円×12）</t>
  </si>
  <si>
    <t>店舗の利益−共通部−本部費</t>
  </si>
  <si>
    <t>（店舗の固定費＋共通部または本部費）÷限界利益率</t>
  </si>
  <si>
    <t>損益分岐の売上÷年間の目標売上</t>
  </si>
  <si>
    <t>100%達成
共通部なし</t>
  </si>
  <si>
    <t>100%達成
共通部あり（計画）</t>
  </si>
  <si>
    <t>100%達成
本部費込み（参考）</t>
  </si>
  <si>
    <t>105%達成
共通部なし</t>
  </si>
  <si>
    <t>105%達成
共通部あり（計画）</t>
  </si>
  <si>
    <t>105%達成
本部費込み（参考）</t>
  </si>
  <si>
    <t>2. 達成度別の営業利益（「達成度別」シートの営業利益を基準に、共通部・本部費だけ入れ替え）</t>
  </si>
  <si>
    <t>共通部なし</t>
  </si>
  <si>
    <t>共通部あり（計画）</t>
  </si>
  <si>
    <t>本部費込み（参考）</t>
  </si>
  <si>
    <t>共通部の負担額</t>
  </si>
  <si>
    <t>3. 月別の営業利益（スマレジ版の目標・全月100%達成。共通部の実費と本部費は12等分）</t>
  </si>
  <si>
    <t>赤字の月数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</si>
</sst>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[Red]\-#,##0;\-"/>
    <numFmt numFmtId="177" formatCode="0.0%"/>
    <numFmt numFmtId="181" formatCode="0&quot;か月&quot;"/>
  </numFmts>
  <fonts count="10" x14ac:knownFonts="1">
    <font>
      <sz val="11"/>
      <color theme="1"/>
      <name val="ＭＳ Ｐゴシック"/>
      <family val="2"/>
      <scheme val="minor"/>
    </font>
    <font>
      <b/>
      <sz val="14"/>
      <name val="Meiryo UI"/>
      <family val="3"/>
      <charset val="128"/>
    </font>
    <font>
      <sz val="11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sz val="11"/>
      <color rgb="FF0000FF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73F5F"/>
      </patternFill>
    </fill>
    <fill>
      <patternFill patternType="solid">
        <fgColor rgb="FFFFFF00"/>
      </patternFill>
    </fill>
    <fill>
      <patternFill patternType="solid">
        <fgColor rgb="FFE3EEF5"/>
      </patternFill>
    </fill>
    <fill>
      <patternFill patternType="solid">
        <fgColor rgb="FF073F5F"/>
        <bgColor indexed="64"/>
      </patternFill>
    </fill>
    <fill>
      <patternFill patternType="solid">
        <fgColor rgb="FFE3EE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1" fontId="4" fillId="3" borderId="0" xfId="0" applyNumberFormat="1" applyFont="1" applyFill="1"/>
    <xf numFmtId="0" fontId="3" fillId="2" borderId="0" xfId="0" applyFont="1" applyFill="1" applyAlignment="1">
      <alignment horizontal="center" vertical="center" wrapText="1"/>
    </xf>
    <xf numFmtId="1" fontId="4" fillId="0" borderId="0" xfId="0" applyNumberFormat="1" applyFont="1"/>
    <xf numFmtId="176" fontId="5" fillId="4" borderId="0" xfId="0" applyNumberFormat="1" applyFont="1" applyFill="1"/>
    <xf numFmtId="176" fontId="2" fillId="0" borderId="0" xfId="0" applyNumberFormat="1" applyFont="1"/>
    <xf numFmtId="1" fontId="5" fillId="0" borderId="0" xfId="0" applyNumberFormat="1" applyFont="1"/>
    <xf numFmtId="176" fontId="5" fillId="0" borderId="0" xfId="0" applyNumberFormat="1" applyFont="1"/>
    <xf numFmtId="1" fontId="2" fillId="0" borderId="0" xfId="0" applyNumberFormat="1" applyFont="1"/>
    <xf numFmtId="176" fontId="4" fillId="3" borderId="0" xfId="0" applyNumberFormat="1" applyFont="1" applyFill="1"/>
    <xf numFmtId="177" fontId="4" fillId="0" borderId="0" xfId="0" applyNumberFormat="1" applyFont="1"/>
    <xf numFmtId="176" fontId="4" fillId="0" borderId="0" xfId="0" applyNumberFormat="1" applyFont="1"/>
    <xf numFmtId="177" fontId="4" fillId="3" borderId="0" xfId="0" applyNumberFormat="1" applyFont="1" applyFill="1"/>
    <xf numFmtId="177" fontId="2" fillId="0" borderId="0" xfId="0" applyNumberFormat="1" applyFont="1"/>
    <xf numFmtId="0" fontId="5" fillId="4" borderId="0" xfId="0" applyFont="1" applyFill="1"/>
    <xf numFmtId="9" fontId="4" fillId="3" borderId="0" xfId="0" applyNumberFormat="1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center" vertical="center" wrapText="1"/>
    </xf>
    <xf numFmtId="9" fontId="6" fillId="0" borderId="0" xfId="0" applyNumberFormat="1" applyFont="1"/>
    <xf numFmtId="176" fontId="6" fillId="0" borderId="0" xfId="0" applyNumberFormat="1" applyFont="1"/>
    <xf numFmtId="177" fontId="6" fillId="0" borderId="0" xfId="0" applyNumberFormat="1" applyFont="1"/>
    <xf numFmtId="0" fontId="8" fillId="6" borderId="0" xfId="0" applyFont="1" applyFill="1"/>
    <xf numFmtId="176" fontId="8" fillId="6" borderId="0" xfId="0" applyNumberFormat="1" applyFont="1" applyFill="1"/>
    <xf numFmtId="9" fontId="6" fillId="0" borderId="0" xfId="0" applyNumberFormat="1" applyFont="1" applyAlignment="1">
      <alignment horizontal="center"/>
    </xf>
    <xf numFmtId="9" fontId="8" fillId="6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181" fontId="6" fillId="0" borderId="0" xfId="0" applyNumberFormat="1" applyFont="1"/>
    <xf numFmtId="0" fontId="8" fillId="6" borderId="0" xfId="0" applyFont="1" applyFill="1" applyAlignment="1">
      <alignment horizontal="center"/>
    </xf>
    <xf numFmtId="0" fontId="6" fillId="0" borderId="0" xfId="0" applyFont="1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達成度別の営業利益（報奨金後）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達成度別!$E$3</c:f>
              <c:strCache>
                <c:ptCount val="1"/>
                <c:pt idx="0">
                  <c:v>営業利益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達成度別!$A$4:$A$9</c:f>
              <c:numCache>
                <c:formatCode>0%</c:formatCode>
                <c:ptCount val="6"/>
                <c:pt idx="0">
                  <c:v>0.9</c:v>
                </c:pt>
                <c:pt idx="1">
                  <c:v>0.95</c:v>
                </c:pt>
                <c:pt idx="2">
                  <c:v>1</c:v>
                </c:pt>
                <c:pt idx="3">
                  <c:v>1.03</c:v>
                </c:pt>
                <c:pt idx="4">
                  <c:v>1.05</c:v>
                </c:pt>
                <c:pt idx="5">
                  <c:v>1.1000000000000001</c:v>
                </c:pt>
              </c:numCache>
            </c:numRef>
          </c:cat>
          <c:val>
            <c:numRef>
              <c:f>達成度別!$E$4:$E$9</c:f>
              <c:numCache>
                <c:formatCode>#,##0;[Red]\-#,##0;\-</c:formatCode>
                <c:ptCount val="6"/>
                <c:pt idx="0">
                  <c:v>-1128264</c:v>
                </c:pt>
                <c:pt idx="1">
                  <c:v>-271244</c:v>
                </c:pt>
                <c:pt idx="2">
                  <c:v>225776</c:v>
                </c:pt>
                <c:pt idx="3">
                  <c:v>739988</c:v>
                </c:pt>
                <c:pt idx="4">
                  <c:v>842796</c:v>
                </c:pt>
                <c:pt idx="5">
                  <c:v>1699816.0000000037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A-49C1-9038-21CBFAA3E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円</a:t>
                </a:r>
              </a:p>
            </c:rich>
          </c:tx>
          <c:overlay val="1"/>
        </c:title>
        <c:numFmt formatCode="#,##0;[Red]\-#,##0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月別　営業利益（100%達成時）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月別目標と営業利益!$H$5</c:f>
              <c:strCache>
                <c:ptCount val="1"/>
                <c:pt idx="0">
                  <c:v>営業利益（100%時）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月別目標と営業利益!$A$6:$A$17</c:f>
              <c:strCache>
                <c:ptCount val="12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</c:strCache>
            </c:strRef>
          </c:cat>
          <c:val>
            <c:numRef>
              <c:f>月別目標と営業利益!$H$6:$H$17</c:f>
              <c:numCache>
                <c:formatCode>#,##0;[Red]\-#,##0;\-</c:formatCode>
                <c:ptCount val="12"/>
                <c:pt idx="0">
                  <c:v>-458672</c:v>
                </c:pt>
                <c:pt idx="1">
                  <c:v>-257112</c:v>
                </c:pt>
                <c:pt idx="2">
                  <c:v>189088</c:v>
                </c:pt>
                <c:pt idx="3">
                  <c:v>225248</c:v>
                </c:pt>
                <c:pt idx="4">
                  <c:v>786848</c:v>
                </c:pt>
                <c:pt idx="5">
                  <c:v>146008</c:v>
                </c:pt>
                <c:pt idx="6">
                  <c:v>-537912</c:v>
                </c:pt>
                <c:pt idx="7">
                  <c:v>-19392</c:v>
                </c:pt>
                <c:pt idx="8">
                  <c:v>-250192</c:v>
                </c:pt>
                <c:pt idx="9">
                  <c:v>152928</c:v>
                </c:pt>
                <c:pt idx="10">
                  <c:v>146008</c:v>
                </c:pt>
                <c:pt idx="11">
                  <c:v>102928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5-46CB-805C-EFDE9BD9B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月別目標と営業利益!$I$5</c:f>
              <c:strCache>
                <c:ptCount val="1"/>
                <c:pt idx="0">
                  <c:v>累計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月別目標と営業利益!$I$6:$I$17</c:f>
              <c:numCache>
                <c:formatCode>#,##0;[Red]\-#,##0;\-</c:formatCode>
                <c:ptCount val="12"/>
                <c:pt idx="0">
                  <c:v>-458672</c:v>
                </c:pt>
                <c:pt idx="1">
                  <c:v>-715784</c:v>
                </c:pt>
                <c:pt idx="2">
                  <c:v>-526696</c:v>
                </c:pt>
                <c:pt idx="3">
                  <c:v>-301448</c:v>
                </c:pt>
                <c:pt idx="4">
                  <c:v>485400</c:v>
                </c:pt>
                <c:pt idx="5">
                  <c:v>631408</c:v>
                </c:pt>
                <c:pt idx="6">
                  <c:v>93496</c:v>
                </c:pt>
                <c:pt idx="7">
                  <c:v>74104</c:v>
                </c:pt>
                <c:pt idx="8">
                  <c:v>-176088</c:v>
                </c:pt>
                <c:pt idx="9">
                  <c:v>-23160</c:v>
                </c:pt>
                <c:pt idx="10">
                  <c:v>122848</c:v>
                </c:pt>
                <c:pt idx="11">
                  <c:v>225776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FC5-46CB-805C-EFDE9BD9B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[Red]\-#,##0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月別（スマレジ版）　営業利益（100%達成時）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'月別（スマレジ版）'!$H$5</c:f>
              <c:strCache>
                <c:ptCount val="1"/>
                <c:pt idx="0">
                  <c:v>営業利益（100%時）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'月別（スマレジ版）'!$A$6:$A$17</c:f>
              <c:strCache>
                <c:ptCount val="12"/>
                <c:pt idx="0">
                  <c:v>8月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  <c:pt idx="5">
                  <c:v>1月</c:v>
                </c:pt>
                <c:pt idx="6">
                  <c:v>2月</c:v>
                </c:pt>
                <c:pt idx="7">
                  <c:v>3月</c:v>
                </c:pt>
                <c:pt idx="8">
                  <c:v>4月</c:v>
                </c:pt>
                <c:pt idx="9">
                  <c:v>5月</c:v>
                </c:pt>
                <c:pt idx="10">
                  <c:v>6月</c:v>
                </c:pt>
                <c:pt idx="11">
                  <c:v>7月</c:v>
                </c:pt>
              </c:strCache>
            </c:strRef>
          </c:cat>
          <c:val>
            <c:numRef>
              <c:f>'月別（スマレジ版）'!$H$6:$H$17</c:f>
              <c:numCache>
                <c:formatCode>#,##0;[Red]\-#,##0;\-</c:formatCode>
                <c:ptCount val="12"/>
                <c:pt idx="0">
                  <c:v>-415592</c:v>
                </c:pt>
                <c:pt idx="1">
                  <c:v>-134792</c:v>
                </c:pt>
                <c:pt idx="2">
                  <c:v>189088</c:v>
                </c:pt>
                <c:pt idx="3">
                  <c:v>189088</c:v>
                </c:pt>
                <c:pt idx="4">
                  <c:v>585288</c:v>
                </c:pt>
                <c:pt idx="5">
                  <c:v>254488</c:v>
                </c:pt>
                <c:pt idx="6">
                  <c:v>-415592</c:v>
                </c:pt>
                <c:pt idx="7">
                  <c:v>189088</c:v>
                </c:pt>
                <c:pt idx="8">
                  <c:v>-134792</c:v>
                </c:pt>
                <c:pt idx="9">
                  <c:v>-134792</c:v>
                </c:pt>
                <c:pt idx="10">
                  <c:v>189088</c:v>
                </c:pt>
                <c:pt idx="11">
                  <c:v>-134792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A-47CB-8724-BCCC28636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'月別（スマレジ版）'!$I$5</c:f>
              <c:strCache>
                <c:ptCount val="1"/>
                <c:pt idx="0">
                  <c:v>累計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'月別（スマレジ版）'!$I$6:$I$17</c:f>
              <c:numCache>
                <c:formatCode>#,##0;[Red]\-#,##0;\-</c:formatCode>
                <c:ptCount val="12"/>
                <c:pt idx="0">
                  <c:v>-415592</c:v>
                </c:pt>
                <c:pt idx="1">
                  <c:v>-550384</c:v>
                </c:pt>
                <c:pt idx="2">
                  <c:v>-361296</c:v>
                </c:pt>
                <c:pt idx="3">
                  <c:v>-172208</c:v>
                </c:pt>
                <c:pt idx="4">
                  <c:v>413080</c:v>
                </c:pt>
                <c:pt idx="5">
                  <c:v>667568</c:v>
                </c:pt>
                <c:pt idx="6">
                  <c:v>251976</c:v>
                </c:pt>
                <c:pt idx="7">
                  <c:v>441064</c:v>
                </c:pt>
                <c:pt idx="8">
                  <c:v>306272</c:v>
                </c:pt>
                <c:pt idx="9">
                  <c:v>171480</c:v>
                </c:pt>
                <c:pt idx="10">
                  <c:v>360568</c:v>
                </c:pt>
                <c:pt idx="11">
                  <c:v>225776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CA-47CB-8724-BCCC28636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[Red]\-#,##0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ABFAD-536A-494E-8264-66F5D0C25417}">
  <dimension ref="A1:H50"/>
  <sheetViews>
    <sheetView tabSelected="1" workbookViewId="0"/>
  </sheetViews>
  <sheetFormatPr defaultRowHeight="15" x14ac:dyDescent="0.3"/>
  <cols>
    <col min="1" max="1" width="34.77734375" style="19" customWidth="1"/>
    <col min="2" max="7" width="17.77734375" style="19" customWidth="1"/>
    <col min="8" max="8" width="44.77734375" style="19" customWidth="1"/>
    <col min="9" max="16384" width="8.88671875" style="19"/>
  </cols>
  <sheetData>
    <row r="1" spans="1:8" ht="18.600000000000001" x14ac:dyDescent="0.35">
      <c r="A1" s="20" t="s">
        <v>130</v>
      </c>
    </row>
    <row r="2" spans="1:8" x14ac:dyDescent="0.3">
      <c r="A2" s="33" t="s">
        <v>131</v>
      </c>
      <c r="B2" s="33"/>
      <c r="C2" s="33"/>
      <c r="D2" s="33"/>
      <c r="E2" s="33"/>
      <c r="F2" s="33"/>
      <c r="G2" s="33"/>
      <c r="H2" s="33"/>
    </row>
    <row r="3" spans="1:8" x14ac:dyDescent="0.3">
      <c r="A3" s="33" t="s">
        <v>132</v>
      </c>
      <c r="B3" s="33"/>
      <c r="C3" s="33"/>
      <c r="D3" s="33"/>
      <c r="E3" s="33"/>
      <c r="F3" s="33"/>
      <c r="G3" s="33"/>
      <c r="H3" s="33"/>
    </row>
    <row r="5" spans="1:8" x14ac:dyDescent="0.3">
      <c r="A5" s="21" t="s">
        <v>133</v>
      </c>
    </row>
    <row r="6" spans="1:8" ht="33" customHeight="1" x14ac:dyDescent="0.3">
      <c r="A6" s="22" t="s">
        <v>39</v>
      </c>
      <c r="B6" s="22" t="s">
        <v>150</v>
      </c>
      <c r="C6" s="22" t="s">
        <v>151</v>
      </c>
      <c r="D6" s="22" t="s">
        <v>152</v>
      </c>
      <c r="E6" s="22" t="s">
        <v>153</v>
      </c>
      <c r="F6" s="22" t="s">
        <v>154</v>
      </c>
      <c r="G6" s="22" t="s">
        <v>155</v>
      </c>
      <c r="H6" s="22" t="s">
        <v>134</v>
      </c>
    </row>
    <row r="7" spans="1:8" x14ac:dyDescent="0.3">
      <c r="A7" s="19" t="s">
        <v>77</v>
      </c>
      <c r="B7" s="23">
        <f>1</f>
        <v>1</v>
      </c>
      <c r="C7" s="23">
        <f>1</f>
        <v>1</v>
      </c>
      <c r="D7" s="23">
        <f>1</f>
        <v>1</v>
      </c>
      <c r="E7" s="23">
        <f>入力!$B$16</f>
        <v>1.05</v>
      </c>
      <c r="F7" s="23">
        <f>入力!$B$16</f>
        <v>1.05</v>
      </c>
      <c r="G7" s="23">
        <f>入力!$B$16</f>
        <v>1.05</v>
      </c>
    </row>
    <row r="8" spans="1:8" x14ac:dyDescent="0.3">
      <c r="A8" s="19" t="s">
        <v>78</v>
      </c>
      <c r="B8" s="24">
        <f>入力!$B$19*B7</f>
        <v>63000000</v>
      </c>
      <c r="C8" s="24">
        <f>入力!$B$19*C7</f>
        <v>63000000</v>
      </c>
      <c r="D8" s="24">
        <f>入力!$B$19*D7</f>
        <v>63000000</v>
      </c>
      <c r="E8" s="24">
        <f>入力!$B$19*E7</f>
        <v>66150000</v>
      </c>
      <c r="F8" s="24">
        <f>入力!$B$19*F7</f>
        <v>66150000</v>
      </c>
      <c r="G8" s="24">
        <f>入力!$B$19*G7</f>
        <v>66150000</v>
      </c>
      <c r="H8" s="19" t="s">
        <v>139</v>
      </c>
    </row>
    <row r="9" spans="1:8" x14ac:dyDescent="0.3">
      <c r="A9" s="19" t="s">
        <v>80</v>
      </c>
      <c r="B9" s="24">
        <f>入力!$B$5*B7</f>
        <v>21500000</v>
      </c>
      <c r="C9" s="24">
        <f>入力!$B$5*C7</f>
        <v>21500000</v>
      </c>
      <c r="D9" s="24">
        <f>入力!$B$5*D7</f>
        <v>21500000</v>
      </c>
      <c r="E9" s="24">
        <f>入力!$B$5*E7</f>
        <v>22575000</v>
      </c>
      <c r="F9" s="24">
        <f>入力!$B$5*F7</f>
        <v>22575000</v>
      </c>
      <c r="G9" s="24">
        <f>入力!$B$5*G7</f>
        <v>22575000</v>
      </c>
      <c r="H9" s="19" t="s">
        <v>140</v>
      </c>
    </row>
    <row r="10" spans="1:8" x14ac:dyDescent="0.3">
      <c r="A10" s="19" t="s">
        <v>81</v>
      </c>
      <c r="B10" s="24">
        <f>入力!$B$7*12</f>
        <v>9600000</v>
      </c>
      <c r="C10" s="24">
        <f>入力!$B$7*12</f>
        <v>9600000</v>
      </c>
      <c r="D10" s="24">
        <f>入力!$B$7*12</f>
        <v>9600000</v>
      </c>
      <c r="E10" s="24">
        <f>入力!$B$7*12</f>
        <v>9600000</v>
      </c>
      <c r="F10" s="24">
        <f>入力!$B$7*12</f>
        <v>9600000</v>
      </c>
      <c r="G10" s="24">
        <f>入力!$B$7*12</f>
        <v>9600000</v>
      </c>
      <c r="H10" s="19" t="s">
        <v>141</v>
      </c>
    </row>
    <row r="11" spans="1:8" x14ac:dyDescent="0.3">
      <c r="A11" s="19" t="s">
        <v>83</v>
      </c>
      <c r="B11" s="24">
        <f>IF(B7&gt;=入力!$B$16,入力!$B$15,IF(B7&gt;=1,入力!$B$14,0))*12</f>
        <v>360000</v>
      </c>
      <c r="C11" s="24">
        <f>IF(C7&gt;=入力!$B$16,入力!$B$15,IF(C7&gt;=1,入力!$B$14,0))*12</f>
        <v>360000</v>
      </c>
      <c r="D11" s="24">
        <f>IF(D7&gt;=入力!$B$16,入力!$B$15,IF(D7&gt;=1,入力!$B$14,0))*12</f>
        <v>360000</v>
      </c>
      <c r="E11" s="24">
        <f>IF(E7&gt;=入力!$B$16,入力!$B$15,IF(E7&gt;=1,入力!$B$14,0))*12</f>
        <v>600000</v>
      </c>
      <c r="F11" s="24">
        <f>IF(F7&gt;=入力!$B$16,入力!$B$15,IF(F7&gt;=1,入力!$B$14,0))*12</f>
        <v>600000</v>
      </c>
      <c r="G11" s="24">
        <f>IF(G7&gt;=入力!$B$16,入力!$B$15,IF(G7&gt;=1,入力!$B$14,0))*12</f>
        <v>600000</v>
      </c>
      <c r="H11" s="19" t="s">
        <v>84</v>
      </c>
    </row>
    <row r="12" spans="1:8" x14ac:dyDescent="0.3">
      <c r="A12" s="19" t="s">
        <v>85</v>
      </c>
      <c r="B12" s="24">
        <f>入力!$B$8*12+B8*入力!$B$9</f>
        <v>6877104</v>
      </c>
      <c r="C12" s="24">
        <f>入力!$B$8*12+C8*入力!$B$9</f>
        <v>6877104</v>
      </c>
      <c r="D12" s="24">
        <f>入力!$B$8*12+D8*入力!$B$9</f>
        <v>6877104</v>
      </c>
      <c r="E12" s="24">
        <f>入力!$B$8*12+E8*入力!$B$9</f>
        <v>7095084</v>
      </c>
      <c r="F12" s="24">
        <f>入力!$B$8*12+F8*入力!$B$9</f>
        <v>7095084</v>
      </c>
      <c r="G12" s="24">
        <f>入力!$B$8*12+G8*入力!$B$9</f>
        <v>7095084</v>
      </c>
      <c r="H12" s="19" t="s">
        <v>142</v>
      </c>
    </row>
    <row r="13" spans="1:8" x14ac:dyDescent="0.3">
      <c r="A13" s="19" t="s">
        <v>87</v>
      </c>
      <c r="B13" s="24">
        <f>入力!$B$10</f>
        <v>3493268</v>
      </c>
      <c r="C13" s="24">
        <f>入力!$B$10</f>
        <v>3493268</v>
      </c>
      <c r="D13" s="24">
        <f>入力!$B$10</f>
        <v>3493268</v>
      </c>
      <c r="E13" s="24">
        <f>入力!$B$10</f>
        <v>3493268</v>
      </c>
      <c r="F13" s="24">
        <f>入力!$B$10</f>
        <v>3493268</v>
      </c>
      <c r="G13" s="24">
        <f>入力!$B$10</f>
        <v>3493268</v>
      </c>
    </row>
    <row r="14" spans="1:8" x14ac:dyDescent="0.3">
      <c r="A14" s="26" t="s">
        <v>135</v>
      </c>
      <c r="B14" s="27">
        <f>SUM(B10:B13)</f>
        <v>20330372</v>
      </c>
      <c r="C14" s="27">
        <f>SUM(C10:C13)</f>
        <v>20330372</v>
      </c>
      <c r="D14" s="27">
        <f>SUM(D10:D13)</f>
        <v>20330372</v>
      </c>
      <c r="E14" s="27">
        <f>SUM(E10:E13)</f>
        <v>20788352</v>
      </c>
      <c r="F14" s="27">
        <f>SUM(F10:F13)</f>
        <v>20788352</v>
      </c>
      <c r="G14" s="27">
        <f>SUM(G10:G13)</f>
        <v>20788352</v>
      </c>
      <c r="H14" s="26" t="s">
        <v>143</v>
      </c>
    </row>
    <row r="15" spans="1:8" x14ac:dyDescent="0.3">
      <c r="A15" s="26" t="s">
        <v>136</v>
      </c>
      <c r="B15" s="27">
        <f>B9-B14</f>
        <v>1169628</v>
      </c>
      <c r="C15" s="27">
        <f>C9-C14</f>
        <v>1169628</v>
      </c>
      <c r="D15" s="27">
        <f>D9-D14</f>
        <v>1169628</v>
      </c>
      <c r="E15" s="27">
        <f>E9-E14</f>
        <v>1786648</v>
      </c>
      <c r="F15" s="27">
        <f>F9-F14</f>
        <v>1786648</v>
      </c>
      <c r="G15" s="27">
        <f>G9-G14</f>
        <v>1786648</v>
      </c>
      <c r="H15" s="26" t="s">
        <v>144</v>
      </c>
    </row>
    <row r="16" spans="1:8" x14ac:dyDescent="0.3">
      <c r="A16" s="19" t="s">
        <v>88</v>
      </c>
      <c r="B16" s="24">
        <v>0</v>
      </c>
      <c r="C16" s="24">
        <f>入力!$B$11</f>
        <v>943852</v>
      </c>
      <c r="D16" s="24">
        <v>0</v>
      </c>
      <c r="E16" s="24">
        <v>0</v>
      </c>
      <c r="F16" s="24">
        <f>入力!$B$11</f>
        <v>943852</v>
      </c>
      <c r="G16" s="24">
        <v>0</v>
      </c>
      <c r="H16" s="19" t="s">
        <v>145</v>
      </c>
    </row>
    <row r="17" spans="1:8" x14ac:dyDescent="0.3">
      <c r="A17" s="19" t="s">
        <v>137</v>
      </c>
      <c r="B17" s="24">
        <v>0</v>
      </c>
      <c r="C17" s="24">
        <v>0</v>
      </c>
      <c r="D17" s="24">
        <f>入力!$B$12*12</f>
        <v>1896000</v>
      </c>
      <c r="E17" s="24">
        <v>0</v>
      </c>
      <c r="F17" s="24">
        <v>0</v>
      </c>
      <c r="G17" s="24">
        <f>入力!$B$12*12</f>
        <v>1896000</v>
      </c>
      <c r="H17" s="19" t="s">
        <v>146</v>
      </c>
    </row>
    <row r="18" spans="1:8" x14ac:dyDescent="0.3">
      <c r="A18" s="26" t="s">
        <v>90</v>
      </c>
      <c r="B18" s="27">
        <f>B15-B16-B17</f>
        <v>1169628</v>
      </c>
      <c r="C18" s="27">
        <f>C15-C16-C17</f>
        <v>225776</v>
      </c>
      <c r="D18" s="27">
        <f>D15-D16-D17</f>
        <v>-726372</v>
      </c>
      <c r="E18" s="27">
        <f>E15-E16-E17</f>
        <v>1786648</v>
      </c>
      <c r="F18" s="27">
        <f>F15-F16-F17</f>
        <v>842796</v>
      </c>
      <c r="G18" s="27">
        <f>G15-G16-G17</f>
        <v>-109352</v>
      </c>
      <c r="H18" s="26" t="s">
        <v>147</v>
      </c>
    </row>
    <row r="19" spans="1:8" x14ac:dyDescent="0.3">
      <c r="A19" s="19" t="s">
        <v>91</v>
      </c>
      <c r="B19" s="24">
        <f>入力!$B$13</f>
        <v>300000</v>
      </c>
      <c r="C19" s="24">
        <f>入力!$B$13</f>
        <v>300000</v>
      </c>
      <c r="D19" s="24">
        <f>入力!$B$13</f>
        <v>300000</v>
      </c>
      <c r="E19" s="24">
        <f>入力!$B$13</f>
        <v>300000</v>
      </c>
      <c r="F19" s="24">
        <f>入力!$B$13</f>
        <v>300000</v>
      </c>
      <c r="G19" s="24">
        <f>入力!$B$13</f>
        <v>300000</v>
      </c>
    </row>
    <row r="20" spans="1:8" x14ac:dyDescent="0.3">
      <c r="A20" s="26" t="s">
        <v>92</v>
      </c>
      <c r="B20" s="27">
        <f>B18-B19</f>
        <v>869628</v>
      </c>
      <c r="C20" s="27">
        <f>C18-C19</f>
        <v>-74224</v>
      </c>
      <c r="D20" s="27">
        <f>D18-D19</f>
        <v>-1026372</v>
      </c>
      <c r="E20" s="27">
        <f>E18-E19</f>
        <v>1486648</v>
      </c>
      <c r="F20" s="27">
        <f>F18-F19</f>
        <v>542796</v>
      </c>
      <c r="G20" s="27">
        <f>G18-G19</f>
        <v>-409352</v>
      </c>
      <c r="H20" s="26"/>
    </row>
    <row r="21" spans="1:8" x14ac:dyDescent="0.3">
      <c r="A21" s="19" t="s">
        <v>72</v>
      </c>
      <c r="B21" s="24">
        <f>(入力!$B$7*12+入力!$B$8*12+入力!$B$10+B16+B17)/入力!$B$21</f>
        <v>57377811.25294625</v>
      </c>
      <c r="C21" s="24">
        <f>(入力!$B$7*12+入力!$B$8*12+入力!$B$10+C16+C17)/入力!$B$21</f>
        <v>60846964.598259076</v>
      </c>
      <c r="D21" s="24">
        <f>(入力!$B$7*12+入力!$B$8*12+入力!$B$10+D16+D17)/入力!$B$21</f>
        <v>64346610.114116348</v>
      </c>
      <c r="E21" s="24">
        <f>(入力!$B$7*12+入力!$B$8*12+入力!$B$10+E16+E17)/入力!$B$21</f>
        <v>57377811.25294625</v>
      </c>
      <c r="F21" s="24">
        <f>(入力!$B$7*12+入力!$B$8*12+入力!$B$10+F16+F17)/入力!$B$21</f>
        <v>60846964.598259076</v>
      </c>
      <c r="G21" s="24">
        <f>(入力!$B$7*12+入力!$B$8*12+入力!$B$10+G16+G17)/入力!$B$21</f>
        <v>64346610.114116348</v>
      </c>
      <c r="H21" s="19" t="s">
        <v>148</v>
      </c>
    </row>
    <row r="22" spans="1:8" x14ac:dyDescent="0.3">
      <c r="A22" s="19" t="s">
        <v>138</v>
      </c>
      <c r="B22" s="25">
        <f>B21/入力!$B$19</f>
        <v>0.91075890877692456</v>
      </c>
      <c r="C22" s="25">
        <f>C21/入力!$B$19</f>
        <v>0.96582483489300119</v>
      </c>
      <c r="D22" s="25">
        <f>D21/入力!$B$19</f>
        <v>1.0213747637161326</v>
      </c>
      <c r="E22" s="25">
        <f>E21/入力!$B$19</f>
        <v>0.91075890877692456</v>
      </c>
      <c r="F22" s="25">
        <f>F21/入力!$B$19</f>
        <v>0.96582483489300119</v>
      </c>
      <c r="G22" s="25">
        <f>G21/入力!$B$19</f>
        <v>1.0213747637161326</v>
      </c>
      <c r="H22" s="19" t="s">
        <v>149</v>
      </c>
    </row>
    <row r="25" spans="1:8" x14ac:dyDescent="0.3">
      <c r="A25" s="21" t="s">
        <v>156</v>
      </c>
    </row>
    <row r="26" spans="1:8" ht="30" x14ac:dyDescent="0.3">
      <c r="A26" s="22" t="s">
        <v>77</v>
      </c>
      <c r="B26" s="22" t="s">
        <v>157</v>
      </c>
      <c r="C26" s="22" t="s">
        <v>158</v>
      </c>
      <c r="D26" s="22" t="s">
        <v>159</v>
      </c>
      <c r="E26" s="22" t="s">
        <v>160</v>
      </c>
    </row>
    <row r="27" spans="1:8" x14ac:dyDescent="0.3">
      <c r="A27" s="28">
        <f>達成度別!A4</f>
        <v>0.9</v>
      </c>
      <c r="B27" s="24">
        <f>C27+入力!$B$11</f>
        <v>-184412</v>
      </c>
      <c r="C27" s="24">
        <f>達成度別!E4</f>
        <v>-1128264</v>
      </c>
      <c r="D27" s="24">
        <f>C27+入力!$B$11-入力!$B$12*12</f>
        <v>-2080412</v>
      </c>
      <c r="E27" s="24">
        <f>B27-C27</f>
        <v>943852</v>
      </c>
    </row>
    <row r="28" spans="1:8" x14ac:dyDescent="0.3">
      <c r="A28" s="28">
        <f>達成度別!A5</f>
        <v>0.95</v>
      </c>
      <c r="B28" s="24">
        <f>C28+入力!$B$11</f>
        <v>672608</v>
      </c>
      <c r="C28" s="24">
        <f>達成度別!E5</f>
        <v>-271244</v>
      </c>
      <c r="D28" s="24">
        <f>C28+入力!$B$11-入力!$B$12*12</f>
        <v>-1223392</v>
      </c>
      <c r="E28" s="24">
        <f>B28-C28</f>
        <v>943852</v>
      </c>
    </row>
    <row r="29" spans="1:8" x14ac:dyDescent="0.3">
      <c r="A29" s="29">
        <f>達成度別!A6</f>
        <v>1</v>
      </c>
      <c r="B29" s="27">
        <f>C29+入力!$B$11</f>
        <v>1169628</v>
      </c>
      <c r="C29" s="27">
        <f>達成度別!E6</f>
        <v>225776</v>
      </c>
      <c r="D29" s="27">
        <f>C29+入力!$B$11-入力!$B$12*12</f>
        <v>-726372</v>
      </c>
      <c r="E29" s="27">
        <f>B29-C29</f>
        <v>943852</v>
      </c>
    </row>
    <row r="30" spans="1:8" x14ac:dyDescent="0.3">
      <c r="A30" s="28">
        <f>達成度別!A7</f>
        <v>1.03</v>
      </c>
      <c r="B30" s="24">
        <f>C30+入力!$B$11</f>
        <v>1683840</v>
      </c>
      <c r="C30" s="24">
        <f>達成度別!E7</f>
        <v>739988</v>
      </c>
      <c r="D30" s="24">
        <f>C30+入力!$B$11-入力!$B$12*12</f>
        <v>-212160</v>
      </c>
      <c r="E30" s="24">
        <f>B30-C30</f>
        <v>943852</v>
      </c>
    </row>
    <row r="31" spans="1:8" x14ac:dyDescent="0.3">
      <c r="A31" s="28">
        <f>達成度別!A8</f>
        <v>1.05</v>
      </c>
      <c r="B31" s="24">
        <f>C31+入力!$B$11</f>
        <v>1786648</v>
      </c>
      <c r="C31" s="24">
        <f>達成度別!E8</f>
        <v>842796</v>
      </c>
      <c r="D31" s="24">
        <f>C31+入力!$B$11-入力!$B$12*12</f>
        <v>-109352</v>
      </c>
      <c r="E31" s="24">
        <f>B31-C31</f>
        <v>943852</v>
      </c>
    </row>
    <row r="32" spans="1:8" x14ac:dyDescent="0.3">
      <c r="A32" s="28">
        <f>達成度別!A9</f>
        <v>1.1000000000000001</v>
      </c>
      <c r="B32" s="24">
        <f>C32+入力!$B$11</f>
        <v>2643668.0000000037</v>
      </c>
      <c r="C32" s="24">
        <f>達成度別!E9</f>
        <v>1699816.0000000037</v>
      </c>
      <c r="D32" s="24">
        <f>C32+入力!$B$11-入力!$B$12*12</f>
        <v>747668.00000000373</v>
      </c>
      <c r="E32" s="24">
        <f>B32-C32</f>
        <v>943852</v>
      </c>
    </row>
    <row r="35" spans="1:5" x14ac:dyDescent="0.3">
      <c r="A35" s="21" t="s">
        <v>161</v>
      </c>
    </row>
    <row r="36" spans="1:5" ht="30" x14ac:dyDescent="0.3">
      <c r="A36" s="22" t="s">
        <v>4</v>
      </c>
      <c r="B36" s="22" t="s">
        <v>107</v>
      </c>
      <c r="C36" s="22" t="s">
        <v>157</v>
      </c>
      <c r="D36" s="22" t="s">
        <v>158</v>
      </c>
      <c r="E36" s="22" t="s">
        <v>159</v>
      </c>
    </row>
    <row r="37" spans="1:5" x14ac:dyDescent="0.3">
      <c r="A37" s="30" t="str">
        <f>'月別（スマレジ版）'!A6</f>
        <v>8月</v>
      </c>
      <c r="B37" s="24">
        <f>'月別（スマレジ版）'!F6</f>
        <v>1250000</v>
      </c>
      <c r="C37" s="24">
        <f>D37+入力!$B$11/12</f>
        <v>-336937.66666666669</v>
      </c>
      <c r="D37" s="24">
        <f>'月別（スマレジ版）'!H6</f>
        <v>-415592</v>
      </c>
      <c r="E37" s="24">
        <f>D37+入力!$B$11/12-入力!$B$12</f>
        <v>-494937.66666666669</v>
      </c>
    </row>
    <row r="38" spans="1:5" x14ac:dyDescent="0.3">
      <c r="A38" s="30" t="str">
        <f>'月別（スマレジ版）'!A7</f>
        <v>9月</v>
      </c>
      <c r="B38" s="24">
        <f>'月別（スマレジ版）'!F7</f>
        <v>1600000</v>
      </c>
      <c r="C38" s="24">
        <f>D38+入力!$B$11/12</f>
        <v>-56137.666666666672</v>
      </c>
      <c r="D38" s="24">
        <f>'月別（スマレジ版）'!H7</f>
        <v>-134792</v>
      </c>
      <c r="E38" s="24">
        <f>D38+入力!$B$11/12-入力!$B$12</f>
        <v>-214137.66666666669</v>
      </c>
    </row>
    <row r="39" spans="1:5" x14ac:dyDescent="0.3">
      <c r="A39" s="30" t="str">
        <f>'月別（スマレジ版）'!A8</f>
        <v>10月</v>
      </c>
      <c r="B39" s="24">
        <f>'月別（スマレジ版）'!F8</f>
        <v>2000000</v>
      </c>
      <c r="C39" s="24">
        <f>D39+入力!$B$11/12</f>
        <v>267742.33333333331</v>
      </c>
      <c r="D39" s="24">
        <f>'月別（スマレジ版）'!H8</f>
        <v>189088</v>
      </c>
      <c r="E39" s="24">
        <f>D39+入力!$B$11/12-入力!$B$12</f>
        <v>109742.33333333331</v>
      </c>
    </row>
    <row r="40" spans="1:5" x14ac:dyDescent="0.3">
      <c r="A40" s="30" t="str">
        <f>'月別（スマレジ版）'!A9</f>
        <v>11月</v>
      </c>
      <c r="B40" s="24">
        <f>'月別（スマレジ版）'!F9</f>
        <v>2000000</v>
      </c>
      <c r="C40" s="24">
        <f>D40+入力!$B$11/12</f>
        <v>267742.33333333331</v>
      </c>
      <c r="D40" s="24">
        <f>'月別（スマレジ版）'!H9</f>
        <v>189088</v>
      </c>
      <c r="E40" s="24">
        <f>D40+入力!$B$11/12-入力!$B$12</f>
        <v>109742.33333333331</v>
      </c>
    </row>
    <row r="41" spans="1:5" x14ac:dyDescent="0.3">
      <c r="A41" s="30" t="str">
        <f>'月別（スマレジ版）'!A10</f>
        <v>12月</v>
      </c>
      <c r="B41" s="24">
        <f>'月別（スマレジ版）'!F10</f>
        <v>2500000</v>
      </c>
      <c r="C41" s="24">
        <f>D41+入力!$B$11/12</f>
        <v>663942.33333333337</v>
      </c>
      <c r="D41" s="24">
        <f>'月別（スマレジ版）'!H10</f>
        <v>585288</v>
      </c>
      <c r="E41" s="24">
        <f>D41+入力!$B$11/12-入力!$B$12</f>
        <v>505942.33333333337</v>
      </c>
    </row>
    <row r="42" spans="1:5" x14ac:dyDescent="0.3">
      <c r="A42" s="30" t="str">
        <f>'月別（スマレジ版）'!A11</f>
        <v>1月</v>
      </c>
      <c r="B42" s="24">
        <f>'月別（スマレジ版）'!F11</f>
        <v>2100000</v>
      </c>
      <c r="C42" s="24">
        <f>D42+入力!$B$11/12</f>
        <v>333142.33333333331</v>
      </c>
      <c r="D42" s="24">
        <f>'月別（スマレジ版）'!H11</f>
        <v>254488</v>
      </c>
      <c r="E42" s="24">
        <f>D42+入力!$B$11/12-入力!$B$12</f>
        <v>175142.33333333331</v>
      </c>
    </row>
    <row r="43" spans="1:5" x14ac:dyDescent="0.3">
      <c r="A43" s="30" t="str">
        <f>'月別（スマレジ版）'!A12</f>
        <v>2月</v>
      </c>
      <c r="B43" s="24">
        <f>'月別（スマレジ版）'!F12</f>
        <v>1250000</v>
      </c>
      <c r="C43" s="24">
        <f>D43+入力!$B$11/12</f>
        <v>-336937.66666666669</v>
      </c>
      <c r="D43" s="24">
        <f>'月別（スマレジ版）'!H12</f>
        <v>-415592</v>
      </c>
      <c r="E43" s="24">
        <f>D43+入力!$B$11/12-入力!$B$12</f>
        <v>-494937.66666666669</v>
      </c>
    </row>
    <row r="44" spans="1:5" x14ac:dyDescent="0.3">
      <c r="A44" s="30" t="str">
        <f>'月別（スマレジ版）'!A13</f>
        <v>3月</v>
      </c>
      <c r="B44" s="24">
        <f>'月別（スマレジ版）'!F13</f>
        <v>2000000</v>
      </c>
      <c r="C44" s="24">
        <f>D44+入力!$B$11/12</f>
        <v>267742.33333333331</v>
      </c>
      <c r="D44" s="24">
        <f>'月別（スマレジ版）'!H13</f>
        <v>189088</v>
      </c>
      <c r="E44" s="24">
        <f>D44+入力!$B$11/12-入力!$B$12</f>
        <v>109742.33333333331</v>
      </c>
    </row>
    <row r="45" spans="1:5" x14ac:dyDescent="0.3">
      <c r="A45" s="30" t="str">
        <f>'月別（スマレジ版）'!A14</f>
        <v>4月</v>
      </c>
      <c r="B45" s="24">
        <f>'月別（スマレジ版）'!F14</f>
        <v>1600000</v>
      </c>
      <c r="C45" s="24">
        <f>D45+入力!$B$11/12</f>
        <v>-56137.666666666672</v>
      </c>
      <c r="D45" s="24">
        <f>'月別（スマレジ版）'!H14</f>
        <v>-134792</v>
      </c>
      <c r="E45" s="24">
        <f>D45+入力!$B$11/12-入力!$B$12</f>
        <v>-214137.66666666669</v>
      </c>
    </row>
    <row r="46" spans="1:5" x14ac:dyDescent="0.3">
      <c r="A46" s="30" t="str">
        <f>'月別（スマレジ版）'!A15</f>
        <v>5月</v>
      </c>
      <c r="B46" s="24">
        <f>'月別（スマレジ版）'!F15</f>
        <v>1600000</v>
      </c>
      <c r="C46" s="24">
        <f>D46+入力!$B$11/12</f>
        <v>-56137.666666666672</v>
      </c>
      <c r="D46" s="24">
        <f>'月別（スマレジ版）'!H15</f>
        <v>-134792</v>
      </c>
      <c r="E46" s="24">
        <f>D46+入力!$B$11/12-入力!$B$12</f>
        <v>-214137.66666666669</v>
      </c>
    </row>
    <row r="47" spans="1:5" x14ac:dyDescent="0.3">
      <c r="A47" s="30" t="str">
        <f>'月別（スマレジ版）'!A16</f>
        <v>6月</v>
      </c>
      <c r="B47" s="24">
        <f>'月別（スマレジ版）'!F16</f>
        <v>2000000</v>
      </c>
      <c r="C47" s="24">
        <f>D47+入力!$B$11/12</f>
        <v>267742.33333333331</v>
      </c>
      <c r="D47" s="24">
        <f>'月別（スマレジ版）'!H16</f>
        <v>189088</v>
      </c>
      <c r="E47" s="24">
        <f>D47+入力!$B$11/12-入力!$B$12</f>
        <v>109742.33333333331</v>
      </c>
    </row>
    <row r="48" spans="1:5" x14ac:dyDescent="0.3">
      <c r="A48" s="30" t="str">
        <f>'月別（スマレジ版）'!A17</f>
        <v>7月</v>
      </c>
      <c r="B48" s="24">
        <f>'月別（スマレジ版）'!F17</f>
        <v>1600000</v>
      </c>
      <c r="C48" s="24">
        <f>D48+入力!$B$11/12</f>
        <v>-56137.666666666672</v>
      </c>
      <c r="D48" s="24">
        <f>'月別（スマレジ版）'!H17</f>
        <v>-134792</v>
      </c>
      <c r="E48" s="24">
        <f>D48+入力!$B$11/12-入力!$B$12</f>
        <v>-214137.66666666669</v>
      </c>
    </row>
    <row r="49" spans="1:5" x14ac:dyDescent="0.3">
      <c r="A49" s="32" t="s">
        <v>25</v>
      </c>
      <c r="B49" s="27">
        <f>SUM(B37:B48)</f>
        <v>21500000</v>
      </c>
      <c r="C49" s="27">
        <f>SUM(C37:C48)</f>
        <v>1169627.9999999998</v>
      </c>
      <c r="D49" s="27">
        <f>SUM(D37:D48)</f>
        <v>225776</v>
      </c>
      <c r="E49" s="27">
        <f>SUM(E37:E48)</f>
        <v>-726372.00000000012</v>
      </c>
    </row>
    <row r="50" spans="1:5" x14ac:dyDescent="0.3">
      <c r="A50" s="30" t="s">
        <v>162</v>
      </c>
      <c r="C50" s="31">
        <f>COUNTIF(C37:C48,"&lt;0")</f>
        <v>6</v>
      </c>
      <c r="D50" s="31">
        <f>COUNTIF(D37:D48,"&lt;0")</f>
        <v>6</v>
      </c>
      <c r="E50" s="31">
        <f>COUNTIF(E37:E48,"&lt;0")</f>
        <v>6</v>
      </c>
    </row>
  </sheetData>
  <phoneticPr fontId="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showGridLines="0" workbookViewId="0"/>
  </sheetViews>
  <sheetFormatPr defaultRowHeight="13.2" x14ac:dyDescent="0.2"/>
  <cols>
    <col min="1" max="1" width="12" customWidth="1"/>
    <col min="2" max="2" width="8" customWidth="1"/>
    <col min="3" max="9" width="15" customWidth="1"/>
  </cols>
  <sheetData>
    <row r="1" spans="1:9" ht="18.600000000000001" x14ac:dyDescent="0.35">
      <c r="A1" s="1" t="s">
        <v>0</v>
      </c>
    </row>
    <row r="2" spans="1:9" ht="15" x14ac:dyDescent="0.3">
      <c r="A2" s="2" t="s">
        <v>1</v>
      </c>
    </row>
    <row r="3" spans="1:9" ht="15" x14ac:dyDescent="0.3">
      <c r="A3" s="3" t="s">
        <v>2</v>
      </c>
      <c r="B3" s="4">
        <v>1</v>
      </c>
      <c r="C3" s="2" t="s">
        <v>3</v>
      </c>
    </row>
    <row r="5" spans="1:9" ht="31.95" customHeight="1" x14ac:dyDescent="0.2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spans="1:9" ht="15" x14ac:dyDescent="0.3">
      <c r="A6" s="3" t="s">
        <v>13</v>
      </c>
      <c r="B6" s="6">
        <v>31</v>
      </c>
      <c r="C6" s="7">
        <f>CHOOSE($B$3,'月別（スマレジ版）'!F6,月別目標と営業利益!F6)</f>
        <v>1250000</v>
      </c>
      <c r="D6" s="8">
        <f>CHOOSE($B$3,'月別（スマレジ版）'!G6,月別目標と営業利益!G6)</f>
        <v>1300000</v>
      </c>
      <c r="E6" s="8">
        <f>CHOOSE($B$3,'月別（スマレジ版）'!D6,月別目標と営業利益!D6)</f>
        <v>3700000</v>
      </c>
      <c r="F6" s="8">
        <f t="shared" ref="F6:F17" si="0">ROUND(C6/B6,-3)</f>
        <v>40000</v>
      </c>
      <c r="G6" s="8">
        <f t="shared" ref="G6:G17" si="1">ROUND(E6/B6,-3)</f>
        <v>119000</v>
      </c>
      <c r="H6" s="8">
        <f>入力!$B$14</f>
        <v>30000</v>
      </c>
      <c r="I6" s="8">
        <f>入力!$B$15</f>
        <v>50000</v>
      </c>
    </row>
    <row r="7" spans="1:9" ht="15" x14ac:dyDescent="0.3">
      <c r="A7" s="3" t="s">
        <v>14</v>
      </c>
      <c r="B7" s="6">
        <v>30</v>
      </c>
      <c r="C7" s="7">
        <f>CHOOSE($B$3,'月別（スマレジ版）'!F7,月別目標と営業利益!F7)</f>
        <v>1600000</v>
      </c>
      <c r="D7" s="8">
        <f>CHOOSE($B$3,'月別（スマレジ版）'!G7,月別目標と営業利益!G7)</f>
        <v>1700000</v>
      </c>
      <c r="E7" s="8">
        <f>CHOOSE($B$3,'月別（スマレジ版）'!D7,月別目標と営業利益!D7)</f>
        <v>4700000</v>
      </c>
      <c r="F7" s="8">
        <f t="shared" si="0"/>
        <v>53000</v>
      </c>
      <c r="G7" s="8">
        <f t="shared" si="1"/>
        <v>157000</v>
      </c>
      <c r="H7" s="8">
        <f>入力!$B$14</f>
        <v>30000</v>
      </c>
      <c r="I7" s="8">
        <f>入力!$B$15</f>
        <v>50000</v>
      </c>
    </row>
    <row r="8" spans="1:9" ht="15" x14ac:dyDescent="0.3">
      <c r="A8" s="3" t="s">
        <v>15</v>
      </c>
      <c r="B8" s="6">
        <v>31</v>
      </c>
      <c r="C8" s="7">
        <f>CHOOSE($B$3,'月別（スマレジ版）'!F8,月別目標と営業利益!F8)</f>
        <v>2000000</v>
      </c>
      <c r="D8" s="8">
        <f>CHOOSE($B$3,'月別（スマレジ版）'!G8,月別目標と営業利益!G8)</f>
        <v>2100000</v>
      </c>
      <c r="E8" s="8">
        <f>CHOOSE($B$3,'月別（スマレジ版）'!D8,月別目標と営業利益!D8)</f>
        <v>5800000</v>
      </c>
      <c r="F8" s="8">
        <f t="shared" si="0"/>
        <v>65000</v>
      </c>
      <c r="G8" s="8">
        <f t="shared" si="1"/>
        <v>187000</v>
      </c>
      <c r="H8" s="8">
        <f>入力!$B$14</f>
        <v>30000</v>
      </c>
      <c r="I8" s="8">
        <f>入力!$B$15</f>
        <v>50000</v>
      </c>
    </row>
    <row r="9" spans="1:9" ht="15" x14ac:dyDescent="0.3">
      <c r="A9" s="3" t="s">
        <v>16</v>
      </c>
      <c r="B9" s="6">
        <v>30</v>
      </c>
      <c r="C9" s="7">
        <f>CHOOSE($B$3,'月別（スマレジ版）'!F9,月別目標と営業利益!F9)</f>
        <v>2000000</v>
      </c>
      <c r="D9" s="8">
        <f>CHOOSE($B$3,'月別（スマレジ版）'!G9,月別目標と営業利益!G9)</f>
        <v>2100000</v>
      </c>
      <c r="E9" s="8">
        <f>CHOOSE($B$3,'月別（スマレジ版）'!D9,月別目標と営業利益!D9)</f>
        <v>5800000</v>
      </c>
      <c r="F9" s="8">
        <f t="shared" si="0"/>
        <v>67000</v>
      </c>
      <c r="G9" s="8">
        <f t="shared" si="1"/>
        <v>193000</v>
      </c>
      <c r="H9" s="8">
        <f>入力!$B$14</f>
        <v>30000</v>
      </c>
      <c r="I9" s="8">
        <f>入力!$B$15</f>
        <v>50000</v>
      </c>
    </row>
    <row r="10" spans="1:9" ht="15" x14ac:dyDescent="0.3">
      <c r="A10" s="3" t="s">
        <v>17</v>
      </c>
      <c r="B10" s="6">
        <v>31</v>
      </c>
      <c r="C10" s="7">
        <f>CHOOSE($B$3,'月別（スマレジ版）'!F10,月別目標と営業利益!F10)</f>
        <v>2500000</v>
      </c>
      <c r="D10" s="8">
        <f>CHOOSE($B$3,'月別（スマレジ版）'!G10,月別目標と営業利益!G10)</f>
        <v>2650000</v>
      </c>
      <c r="E10" s="8">
        <f>CHOOSE($B$3,'月別（スマレジ版）'!D10,月別目標と営業利益!D10)</f>
        <v>7300000</v>
      </c>
      <c r="F10" s="8">
        <f t="shared" si="0"/>
        <v>81000</v>
      </c>
      <c r="G10" s="8">
        <f t="shared" si="1"/>
        <v>235000</v>
      </c>
      <c r="H10" s="8">
        <f>入力!$B$14</f>
        <v>30000</v>
      </c>
      <c r="I10" s="8">
        <f>入力!$B$15</f>
        <v>50000</v>
      </c>
    </row>
    <row r="11" spans="1:9" ht="15" x14ac:dyDescent="0.3">
      <c r="A11" s="3" t="s">
        <v>18</v>
      </c>
      <c r="B11" s="6">
        <v>31</v>
      </c>
      <c r="C11" s="7">
        <f>CHOOSE($B$3,'月別（スマレジ版）'!F11,月別目標と営業利益!F11)</f>
        <v>2100000</v>
      </c>
      <c r="D11" s="8">
        <f>CHOOSE($B$3,'月別（スマレジ版）'!G11,月別目標と営業利益!G11)</f>
        <v>2200000</v>
      </c>
      <c r="E11" s="8">
        <f>CHOOSE($B$3,'月別（スマレジ版）'!D11,月別目標と営業利益!D11)</f>
        <v>6300000</v>
      </c>
      <c r="F11" s="8">
        <f t="shared" si="0"/>
        <v>68000</v>
      </c>
      <c r="G11" s="8">
        <f t="shared" si="1"/>
        <v>203000</v>
      </c>
      <c r="H11" s="8">
        <f>入力!$B$14</f>
        <v>30000</v>
      </c>
      <c r="I11" s="8">
        <f>入力!$B$15</f>
        <v>50000</v>
      </c>
    </row>
    <row r="12" spans="1:9" ht="15" x14ac:dyDescent="0.3">
      <c r="A12" s="3" t="s">
        <v>19</v>
      </c>
      <c r="B12" s="6">
        <v>28</v>
      </c>
      <c r="C12" s="7">
        <f>CHOOSE($B$3,'月別（スマレジ版）'!F12,月別目標と営業利益!F12)</f>
        <v>1250000</v>
      </c>
      <c r="D12" s="8">
        <f>CHOOSE($B$3,'月別（スマレジ版）'!G12,月別目標と営業利益!G12)</f>
        <v>1300000</v>
      </c>
      <c r="E12" s="8">
        <f>CHOOSE($B$3,'月別（スマレジ版）'!D12,月別目標と営業利益!D12)</f>
        <v>3700000</v>
      </c>
      <c r="F12" s="8">
        <f t="shared" si="0"/>
        <v>45000</v>
      </c>
      <c r="G12" s="8">
        <f t="shared" si="1"/>
        <v>132000</v>
      </c>
      <c r="H12" s="8">
        <f>入力!$B$14</f>
        <v>30000</v>
      </c>
      <c r="I12" s="8">
        <f>入力!$B$15</f>
        <v>50000</v>
      </c>
    </row>
    <row r="13" spans="1:9" ht="15" x14ac:dyDescent="0.3">
      <c r="A13" s="3" t="s">
        <v>20</v>
      </c>
      <c r="B13" s="6">
        <v>31</v>
      </c>
      <c r="C13" s="7">
        <f>CHOOSE($B$3,'月別（スマレジ版）'!F13,月別目標と営業利益!F13)</f>
        <v>2000000</v>
      </c>
      <c r="D13" s="8">
        <f>CHOOSE($B$3,'月別（スマレジ版）'!G13,月別目標と営業利益!G13)</f>
        <v>2100000</v>
      </c>
      <c r="E13" s="8">
        <f>CHOOSE($B$3,'月別（スマレジ版）'!D13,月別目標と営業利益!D13)</f>
        <v>5800000</v>
      </c>
      <c r="F13" s="8">
        <f t="shared" si="0"/>
        <v>65000</v>
      </c>
      <c r="G13" s="8">
        <f t="shared" si="1"/>
        <v>187000</v>
      </c>
      <c r="H13" s="8">
        <f>入力!$B$14</f>
        <v>30000</v>
      </c>
      <c r="I13" s="8">
        <f>入力!$B$15</f>
        <v>50000</v>
      </c>
    </row>
    <row r="14" spans="1:9" ht="15" x14ac:dyDescent="0.3">
      <c r="A14" s="3" t="s">
        <v>21</v>
      </c>
      <c r="B14" s="6">
        <v>30</v>
      </c>
      <c r="C14" s="7">
        <f>CHOOSE($B$3,'月別（スマレジ版）'!F14,月別目標と営業利益!F14)</f>
        <v>1600000</v>
      </c>
      <c r="D14" s="8">
        <f>CHOOSE($B$3,'月別（スマレジ版）'!G14,月別目標と営業利益!G14)</f>
        <v>1700000</v>
      </c>
      <c r="E14" s="8">
        <f>CHOOSE($B$3,'月別（スマレジ版）'!D14,月別目標と営業利益!D14)</f>
        <v>4700000</v>
      </c>
      <c r="F14" s="8">
        <f t="shared" si="0"/>
        <v>53000</v>
      </c>
      <c r="G14" s="8">
        <f t="shared" si="1"/>
        <v>157000</v>
      </c>
      <c r="H14" s="8">
        <f>入力!$B$14</f>
        <v>30000</v>
      </c>
      <c r="I14" s="8">
        <f>入力!$B$15</f>
        <v>50000</v>
      </c>
    </row>
    <row r="15" spans="1:9" ht="15" x14ac:dyDescent="0.3">
      <c r="A15" s="3" t="s">
        <v>22</v>
      </c>
      <c r="B15" s="6">
        <v>31</v>
      </c>
      <c r="C15" s="7">
        <f>CHOOSE($B$3,'月別（スマレジ版）'!F15,月別目標と営業利益!F15)</f>
        <v>1600000</v>
      </c>
      <c r="D15" s="8">
        <f>CHOOSE($B$3,'月別（スマレジ版）'!G15,月別目標と営業利益!G15)</f>
        <v>1700000</v>
      </c>
      <c r="E15" s="8">
        <f>CHOOSE($B$3,'月別（スマレジ版）'!D15,月別目標と営業利益!D15)</f>
        <v>4700000</v>
      </c>
      <c r="F15" s="8">
        <f t="shared" si="0"/>
        <v>52000</v>
      </c>
      <c r="G15" s="8">
        <f t="shared" si="1"/>
        <v>152000</v>
      </c>
      <c r="H15" s="8">
        <f>入力!$B$14</f>
        <v>30000</v>
      </c>
      <c r="I15" s="8">
        <f>入力!$B$15</f>
        <v>50000</v>
      </c>
    </row>
    <row r="16" spans="1:9" ht="15" x14ac:dyDescent="0.3">
      <c r="A16" s="3" t="s">
        <v>23</v>
      </c>
      <c r="B16" s="6">
        <v>30</v>
      </c>
      <c r="C16" s="7">
        <f>CHOOSE($B$3,'月別（スマレジ版）'!F16,月別目標と営業利益!F16)</f>
        <v>2000000</v>
      </c>
      <c r="D16" s="8">
        <f>CHOOSE($B$3,'月別（スマレジ版）'!G16,月別目標と営業利益!G16)</f>
        <v>2100000</v>
      </c>
      <c r="E16" s="8">
        <f>CHOOSE($B$3,'月別（スマレジ版）'!D16,月別目標と営業利益!D16)</f>
        <v>5800000</v>
      </c>
      <c r="F16" s="8">
        <f t="shared" si="0"/>
        <v>67000</v>
      </c>
      <c r="G16" s="8">
        <f t="shared" si="1"/>
        <v>193000</v>
      </c>
      <c r="H16" s="8">
        <f>入力!$B$14</f>
        <v>30000</v>
      </c>
      <c r="I16" s="8">
        <f>入力!$B$15</f>
        <v>50000</v>
      </c>
    </row>
    <row r="17" spans="1:9" ht="15" x14ac:dyDescent="0.3">
      <c r="A17" s="3" t="s">
        <v>24</v>
      </c>
      <c r="B17" s="6">
        <v>31</v>
      </c>
      <c r="C17" s="7">
        <f>CHOOSE($B$3,'月別（スマレジ版）'!F17,月別目標と営業利益!F17)</f>
        <v>1600000</v>
      </c>
      <c r="D17" s="8">
        <f>CHOOSE($B$3,'月別（スマレジ版）'!G17,月別目標と営業利益!G17)</f>
        <v>1700000</v>
      </c>
      <c r="E17" s="8">
        <f>CHOOSE($B$3,'月別（スマレジ版）'!D17,月別目標と営業利益!D17)</f>
        <v>4700000</v>
      </c>
      <c r="F17" s="8">
        <f t="shared" si="0"/>
        <v>52000</v>
      </c>
      <c r="G17" s="8">
        <f t="shared" si="1"/>
        <v>152000</v>
      </c>
      <c r="H17" s="8">
        <f>入力!$B$14</f>
        <v>30000</v>
      </c>
      <c r="I17" s="8">
        <f>入力!$B$15</f>
        <v>50000</v>
      </c>
    </row>
    <row r="18" spans="1:9" ht="15" x14ac:dyDescent="0.3">
      <c r="A18" s="3" t="s">
        <v>25</v>
      </c>
      <c r="B18" s="9">
        <f>SUM(B6:B17)</f>
        <v>365</v>
      </c>
      <c r="C18" s="10">
        <f>SUM(C6:C17)</f>
        <v>21500000</v>
      </c>
      <c r="D18" s="10">
        <f>SUM(D6:D17)</f>
        <v>22650000</v>
      </c>
      <c r="E18" s="10">
        <f>SUM(E6:E17)</f>
        <v>63000000</v>
      </c>
      <c r="H18" s="10">
        <f>SUM(H6:H17)</f>
        <v>360000</v>
      </c>
      <c r="I18" s="10">
        <f>SUM(I6:I17)</f>
        <v>600000</v>
      </c>
    </row>
    <row r="19" spans="1:9" ht="15" x14ac:dyDescent="0.3">
      <c r="A19" s="2" t="s">
        <v>26</v>
      </c>
      <c r="C19" s="8">
        <f>C18-入力!B5</f>
        <v>0</v>
      </c>
      <c r="E19" s="8">
        <f>E18-入力!B19</f>
        <v>0</v>
      </c>
    </row>
    <row r="21" spans="1:9" ht="15" x14ac:dyDescent="0.3">
      <c r="A21" s="3" t="s">
        <v>27</v>
      </c>
    </row>
    <row r="22" spans="1:9" ht="31.95" customHeight="1" x14ac:dyDescent="0.2">
      <c r="A22" s="5" t="s">
        <v>28</v>
      </c>
      <c r="B22" s="5" t="s">
        <v>29</v>
      </c>
      <c r="C22" s="5" t="s">
        <v>30</v>
      </c>
      <c r="D22" s="5" t="s">
        <v>31</v>
      </c>
    </row>
    <row r="23" spans="1:9" ht="15" x14ac:dyDescent="0.3">
      <c r="A23" s="2" t="str">
        <f>'報奨金（例B）'!A5</f>
        <v>店長</v>
      </c>
      <c r="B23" s="11">
        <f>'報奨金（例B）'!B5</f>
        <v>1</v>
      </c>
      <c r="C23" s="8">
        <f>'報奨金（例B）'!D5</f>
        <v>12000</v>
      </c>
      <c r="D23" s="8">
        <f>'報奨金（例B）'!E5</f>
        <v>20000</v>
      </c>
    </row>
    <row r="24" spans="1:9" ht="15" x14ac:dyDescent="0.3">
      <c r="A24" s="2" t="str">
        <f>'報奨金（例B）'!A6</f>
        <v>古参パート</v>
      </c>
      <c r="B24" s="11">
        <f>'報奨金（例B）'!B6</f>
        <v>1</v>
      </c>
      <c r="C24" s="8">
        <f>'報奨金（例B）'!D6</f>
        <v>8000</v>
      </c>
      <c r="D24" s="8">
        <f>'報奨金（例B）'!E6</f>
        <v>14000</v>
      </c>
    </row>
    <row r="25" spans="1:9" ht="15" x14ac:dyDescent="0.3">
      <c r="A25" s="2" t="str">
        <f>'報奨金（例B）'!A7</f>
        <v>その他パート</v>
      </c>
      <c r="B25" s="11">
        <f>'報奨金（例B）'!B7</f>
        <v>2</v>
      </c>
      <c r="C25" s="8">
        <f>'報奨金（例B）'!D7</f>
        <v>5000</v>
      </c>
      <c r="D25" s="8">
        <f>'報奨金（例B）'!E7</f>
        <v>8000</v>
      </c>
    </row>
    <row r="27" spans="1:9" ht="15" x14ac:dyDescent="0.3">
      <c r="A27" s="3" t="s">
        <v>32</v>
      </c>
    </row>
    <row r="28" spans="1:9" ht="15" x14ac:dyDescent="0.3">
      <c r="A28" s="2" t="s">
        <v>33</v>
      </c>
    </row>
    <row r="29" spans="1:9" ht="15" x14ac:dyDescent="0.3">
      <c r="A29" s="2" t="s">
        <v>34</v>
      </c>
    </row>
    <row r="30" spans="1:9" ht="15" x14ac:dyDescent="0.3">
      <c r="A30" s="2" t="s">
        <v>35</v>
      </c>
    </row>
    <row r="31" spans="1:9" ht="15" x14ac:dyDescent="0.3">
      <c r="A31" s="2" t="s">
        <v>36</v>
      </c>
    </row>
  </sheetData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showGridLines="0" workbookViewId="0"/>
  </sheetViews>
  <sheetFormatPr defaultRowHeight="13.2" x14ac:dyDescent="0.2"/>
  <cols>
    <col min="1" max="1" width="32" customWidth="1"/>
    <col min="2" max="2" width="16" customWidth="1"/>
    <col min="3" max="3" width="60" customWidth="1"/>
  </cols>
  <sheetData>
    <row r="1" spans="1:3" ht="18.600000000000001" x14ac:dyDescent="0.35">
      <c r="A1" s="1" t="s">
        <v>37</v>
      </c>
    </row>
    <row r="2" spans="1:3" ht="15" x14ac:dyDescent="0.3">
      <c r="A2" s="2" t="s">
        <v>38</v>
      </c>
    </row>
    <row r="4" spans="1:3" ht="31.95" customHeight="1" x14ac:dyDescent="0.2">
      <c r="A4" s="5" t="s">
        <v>39</v>
      </c>
      <c r="B4" s="5" t="s">
        <v>40</v>
      </c>
      <c r="C4" s="5" t="s">
        <v>41</v>
      </c>
    </row>
    <row r="5" spans="1:3" ht="15" x14ac:dyDescent="0.3">
      <c r="A5" s="2" t="s">
        <v>42</v>
      </c>
      <c r="B5" s="12">
        <v>21500000</v>
      </c>
      <c r="C5" s="2" t="s">
        <v>43</v>
      </c>
    </row>
    <row r="6" spans="1:3" ht="15" x14ac:dyDescent="0.3">
      <c r="A6" s="2" t="s">
        <v>44</v>
      </c>
      <c r="B6" s="13">
        <f>B5/B19</f>
        <v>0.34126984126984128</v>
      </c>
      <c r="C6" s="2" t="s">
        <v>45</v>
      </c>
    </row>
    <row r="7" spans="1:3" ht="15" x14ac:dyDescent="0.3">
      <c r="A7" s="2" t="s">
        <v>46</v>
      </c>
      <c r="B7" s="12">
        <v>800000</v>
      </c>
      <c r="C7" s="2" t="s">
        <v>47</v>
      </c>
    </row>
    <row r="8" spans="1:3" ht="15" x14ac:dyDescent="0.3">
      <c r="A8" s="2" t="s">
        <v>48</v>
      </c>
      <c r="B8" s="14">
        <v>209792</v>
      </c>
      <c r="C8" s="2" t="s">
        <v>49</v>
      </c>
    </row>
    <row r="9" spans="1:3" ht="15" x14ac:dyDescent="0.3">
      <c r="A9" s="2" t="s">
        <v>50</v>
      </c>
      <c r="B9" s="13">
        <v>6.9199999999999998E-2</v>
      </c>
      <c r="C9" s="2" t="s">
        <v>51</v>
      </c>
    </row>
    <row r="10" spans="1:3" ht="15" x14ac:dyDescent="0.3">
      <c r="A10" s="2" t="s">
        <v>52</v>
      </c>
      <c r="B10" s="14">
        <v>3493268</v>
      </c>
      <c r="C10" s="2" t="s">
        <v>53</v>
      </c>
    </row>
    <row r="11" spans="1:3" ht="15" x14ac:dyDescent="0.3">
      <c r="A11" s="2" t="s">
        <v>54</v>
      </c>
      <c r="B11" s="14">
        <v>943852</v>
      </c>
      <c r="C11" s="2" t="s">
        <v>55</v>
      </c>
    </row>
    <row r="12" spans="1:3" ht="15" x14ac:dyDescent="0.3">
      <c r="A12" s="2" t="s">
        <v>56</v>
      </c>
      <c r="B12" s="14">
        <v>158000</v>
      </c>
      <c r="C12" s="2" t="s">
        <v>57</v>
      </c>
    </row>
    <row r="13" spans="1:3" ht="15" x14ac:dyDescent="0.3">
      <c r="A13" s="2" t="s">
        <v>58</v>
      </c>
      <c r="B13" s="14">
        <v>300000</v>
      </c>
      <c r="C13" s="2" t="s">
        <v>59</v>
      </c>
    </row>
    <row r="14" spans="1:3" ht="15" x14ac:dyDescent="0.3">
      <c r="A14" s="2" t="s">
        <v>60</v>
      </c>
      <c r="B14" s="14">
        <f>'報奨金（例B）'!D8</f>
        <v>30000</v>
      </c>
      <c r="C14" s="2" t="s">
        <v>61</v>
      </c>
    </row>
    <row r="15" spans="1:3" ht="15" x14ac:dyDescent="0.3">
      <c r="A15" s="2" t="s">
        <v>62</v>
      </c>
      <c r="B15" s="14">
        <f>'報奨金（例B）'!E8</f>
        <v>50000</v>
      </c>
      <c r="C15" s="2" t="s">
        <v>63</v>
      </c>
    </row>
    <row r="16" spans="1:3" ht="15" x14ac:dyDescent="0.3">
      <c r="A16" s="2" t="s">
        <v>64</v>
      </c>
      <c r="B16" s="15">
        <v>1.05</v>
      </c>
      <c r="C16" s="2"/>
    </row>
    <row r="18" spans="1:3" ht="15" x14ac:dyDescent="0.3">
      <c r="A18" s="3" t="s">
        <v>65</v>
      </c>
    </row>
    <row r="19" spans="1:3" ht="15" x14ac:dyDescent="0.3">
      <c r="A19" s="2" t="s">
        <v>66</v>
      </c>
      <c r="B19" s="12">
        <v>63000000</v>
      </c>
      <c r="C19" s="2" t="s">
        <v>67</v>
      </c>
    </row>
    <row r="20" spans="1:3" ht="15" x14ac:dyDescent="0.3">
      <c r="A20" s="2" t="s">
        <v>68</v>
      </c>
      <c r="B20" s="8">
        <f>B7*12+B8*12+B10+B11</f>
        <v>16554624</v>
      </c>
      <c r="C20" s="2" t="s">
        <v>69</v>
      </c>
    </row>
    <row r="21" spans="1:3" ht="15" x14ac:dyDescent="0.3">
      <c r="A21" s="2" t="s">
        <v>70</v>
      </c>
      <c r="B21" s="16">
        <f>B6-B9</f>
        <v>0.27206984126984129</v>
      </c>
      <c r="C21" s="2" t="s">
        <v>71</v>
      </c>
    </row>
    <row r="22" spans="1:3" ht="15" x14ac:dyDescent="0.3">
      <c r="A22" s="2" t="s">
        <v>72</v>
      </c>
      <c r="B22" s="8">
        <f>B20/B21</f>
        <v>60846964.598259076</v>
      </c>
      <c r="C22" s="2"/>
    </row>
  </sheetData>
  <phoneticPr fontId="9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showGridLines="0" workbookViewId="0"/>
  </sheetViews>
  <sheetFormatPr defaultRowHeight="13.2" x14ac:dyDescent="0.2"/>
  <cols>
    <col min="1" max="1" width="28" customWidth="1"/>
    <col min="2" max="3" width="16" customWidth="1"/>
    <col min="4" max="4" width="36" customWidth="1"/>
  </cols>
  <sheetData>
    <row r="1" spans="1:4" ht="18.600000000000001" x14ac:dyDescent="0.35">
      <c r="A1" s="1" t="s">
        <v>73</v>
      </c>
    </row>
    <row r="3" spans="1:4" ht="31.95" customHeight="1" x14ac:dyDescent="0.2">
      <c r="A3" s="5" t="s">
        <v>39</v>
      </c>
      <c r="B3" s="5" t="s">
        <v>74</v>
      </c>
      <c r="C3" s="5" t="s">
        <v>75</v>
      </c>
      <c r="D3" s="5" t="s">
        <v>76</v>
      </c>
    </row>
    <row r="4" spans="1:4" ht="15" x14ac:dyDescent="0.3">
      <c r="A4" s="2" t="s">
        <v>77</v>
      </c>
      <c r="B4" s="16">
        <v>1</v>
      </c>
      <c r="C4" s="16">
        <f>入力!B16</f>
        <v>1.05</v>
      </c>
      <c r="D4" s="2"/>
    </row>
    <row r="5" spans="1:4" ht="15" x14ac:dyDescent="0.3">
      <c r="A5" s="2" t="s">
        <v>78</v>
      </c>
      <c r="B5" s="8">
        <f>入力!$B$19*B4</f>
        <v>63000000</v>
      </c>
      <c r="C5" s="8">
        <f>入力!$B$19*C4</f>
        <v>66150000</v>
      </c>
      <c r="D5" s="2" t="s">
        <v>79</v>
      </c>
    </row>
    <row r="6" spans="1:4" ht="15" x14ac:dyDescent="0.3">
      <c r="A6" s="2" t="s">
        <v>80</v>
      </c>
      <c r="B6" s="8">
        <f>入力!$B$5*B4</f>
        <v>21500000</v>
      </c>
      <c r="C6" s="8">
        <f>入力!$B$5*C4</f>
        <v>22575000</v>
      </c>
      <c r="D6" s="2"/>
    </row>
    <row r="7" spans="1:4" ht="15" x14ac:dyDescent="0.3">
      <c r="A7" s="2" t="s">
        <v>81</v>
      </c>
      <c r="B7" s="8">
        <f>入力!$B$7*12</f>
        <v>9600000</v>
      </c>
      <c r="C7" s="8">
        <f>入力!$B$7*12</f>
        <v>9600000</v>
      </c>
      <c r="D7" s="2" t="s">
        <v>82</v>
      </c>
    </row>
    <row r="8" spans="1:4" ht="15" x14ac:dyDescent="0.3">
      <c r="A8" s="2" t="s">
        <v>83</v>
      </c>
      <c r="B8" s="8">
        <f>入力!$B$14*12</f>
        <v>360000</v>
      </c>
      <c r="C8" s="8">
        <f>入力!$B$15*12</f>
        <v>600000</v>
      </c>
      <c r="D8" s="2" t="s">
        <v>84</v>
      </c>
    </row>
    <row r="9" spans="1:4" ht="15" x14ac:dyDescent="0.3">
      <c r="A9" s="2" t="s">
        <v>85</v>
      </c>
      <c r="B9" s="8">
        <f>入力!$B$8*12+B5*入力!$B$9</f>
        <v>6877104</v>
      </c>
      <c r="C9" s="8">
        <f>入力!$B$8*12+C5*入力!$B$9</f>
        <v>7095084</v>
      </c>
      <c r="D9" s="2" t="s">
        <v>86</v>
      </c>
    </row>
    <row r="10" spans="1:4" ht="15" x14ac:dyDescent="0.3">
      <c r="A10" s="2" t="s">
        <v>87</v>
      </c>
      <c r="B10" s="8">
        <f>入力!$B$10</f>
        <v>3493268</v>
      </c>
      <c r="C10" s="8">
        <f>入力!$B$10</f>
        <v>3493268</v>
      </c>
      <c r="D10" s="2"/>
    </row>
    <row r="11" spans="1:4" ht="15" x14ac:dyDescent="0.3">
      <c r="A11" s="2" t="s">
        <v>88</v>
      </c>
      <c r="B11" s="8">
        <f>入力!$B$11</f>
        <v>943852</v>
      </c>
      <c r="C11" s="8">
        <f>入力!$B$11</f>
        <v>943852</v>
      </c>
      <c r="D11" s="2"/>
    </row>
    <row r="12" spans="1:4" ht="15" x14ac:dyDescent="0.3">
      <c r="A12" s="2" t="s">
        <v>89</v>
      </c>
      <c r="B12" s="8">
        <f>SUM(B7:B11)</f>
        <v>21274224</v>
      </c>
      <c r="C12" s="8">
        <f>SUM(C7:C11)</f>
        <v>21732204</v>
      </c>
      <c r="D12" s="2"/>
    </row>
    <row r="13" spans="1:4" ht="15" x14ac:dyDescent="0.3">
      <c r="A13" s="17" t="s">
        <v>90</v>
      </c>
      <c r="B13" s="7">
        <f>B6-B12</f>
        <v>225776</v>
      </c>
      <c r="C13" s="7">
        <f>C6-C12</f>
        <v>842796</v>
      </c>
      <c r="D13" s="2"/>
    </row>
    <row r="14" spans="1:4" ht="15" x14ac:dyDescent="0.3">
      <c r="A14" s="2" t="s">
        <v>91</v>
      </c>
      <c r="B14" s="8">
        <f>入力!$B$13</f>
        <v>300000</v>
      </c>
      <c r="C14" s="8">
        <f>入力!$B$13</f>
        <v>300000</v>
      </c>
      <c r="D14" s="2"/>
    </row>
    <row r="15" spans="1:4" ht="15" x14ac:dyDescent="0.3">
      <c r="A15" s="17" t="s">
        <v>92</v>
      </c>
      <c r="B15" s="7">
        <f>B13-B14</f>
        <v>-74224</v>
      </c>
      <c r="C15" s="7">
        <f>C13-C14</f>
        <v>542796</v>
      </c>
      <c r="D15" s="2"/>
    </row>
    <row r="16" spans="1:4" ht="15" x14ac:dyDescent="0.3">
      <c r="A16" s="2" t="s">
        <v>93</v>
      </c>
      <c r="B16" s="8">
        <f>B13+B11-入力!$B$12*12</f>
        <v>-726372</v>
      </c>
      <c r="C16" s="8">
        <f>C13+C11-入力!$B$12*12</f>
        <v>-109352</v>
      </c>
      <c r="D16" s="2" t="s">
        <v>94</v>
      </c>
    </row>
  </sheetData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workbookViewId="0"/>
  </sheetViews>
  <sheetFormatPr defaultRowHeight="13.2" x14ac:dyDescent="0.2"/>
  <cols>
    <col min="1" max="1" width="10" customWidth="1"/>
    <col min="2" max="3" width="16" customWidth="1"/>
    <col min="4" max="4" width="14" customWidth="1"/>
    <col min="5" max="6" width="16" customWidth="1"/>
  </cols>
  <sheetData>
    <row r="1" spans="1:6" ht="18.600000000000001" x14ac:dyDescent="0.35">
      <c r="A1" s="1" t="s">
        <v>95</v>
      </c>
    </row>
    <row r="3" spans="1:6" ht="31.95" customHeight="1" x14ac:dyDescent="0.2">
      <c r="A3" s="5" t="s">
        <v>77</v>
      </c>
      <c r="B3" s="5" t="s">
        <v>78</v>
      </c>
      <c r="C3" s="5" t="s">
        <v>80</v>
      </c>
      <c r="D3" s="5" t="s">
        <v>96</v>
      </c>
      <c r="E3" s="5" t="s">
        <v>90</v>
      </c>
      <c r="F3" s="5" t="s">
        <v>92</v>
      </c>
    </row>
    <row r="4" spans="1:6" ht="15" x14ac:dyDescent="0.3">
      <c r="A4" s="18">
        <v>0.9</v>
      </c>
      <c r="B4" s="8">
        <f>入力!$B$19*A4</f>
        <v>56700000</v>
      </c>
      <c r="C4" s="8">
        <f>入力!$B$5*A4</f>
        <v>19350000</v>
      </c>
      <c r="D4" s="8">
        <f>IF(A4&gt;=入力!$B$16,入力!$B$15,IF(A4&gt;=1,入力!$B$14,0))*12</f>
        <v>0</v>
      </c>
      <c r="E4" s="10">
        <f>C4-B4*入力!$B$9-入力!$B$20-D4</f>
        <v>-1128264</v>
      </c>
      <c r="F4" s="8">
        <f>E4-入力!$B$13</f>
        <v>-1428264</v>
      </c>
    </row>
    <row r="5" spans="1:6" ht="15" x14ac:dyDescent="0.3">
      <c r="A5" s="18">
        <v>0.95</v>
      </c>
      <c r="B5" s="8">
        <f>入力!$B$19*A5</f>
        <v>59850000</v>
      </c>
      <c r="C5" s="8">
        <f>入力!$B$5*A5</f>
        <v>20425000</v>
      </c>
      <c r="D5" s="8">
        <f>IF(A5&gt;=入力!$B$16,入力!$B$15,IF(A5&gt;=1,入力!$B$14,0))*12</f>
        <v>0</v>
      </c>
      <c r="E5" s="10">
        <f>C5-B5*入力!$B$9-入力!$B$20-D5</f>
        <v>-271244</v>
      </c>
      <c r="F5" s="8">
        <f>E5-入力!$B$13</f>
        <v>-571244</v>
      </c>
    </row>
    <row r="6" spans="1:6" ht="15" x14ac:dyDescent="0.3">
      <c r="A6" s="18">
        <v>1</v>
      </c>
      <c r="B6" s="8">
        <f>入力!$B$19*A6</f>
        <v>63000000</v>
      </c>
      <c r="C6" s="8">
        <f>入力!$B$5*A6</f>
        <v>21500000</v>
      </c>
      <c r="D6" s="8">
        <f>IF(A6&gt;=入力!$B$16,入力!$B$15,IF(A6&gt;=1,入力!$B$14,0))*12</f>
        <v>360000</v>
      </c>
      <c r="E6" s="10">
        <f>C6-B6*入力!$B$9-入力!$B$20-D6</f>
        <v>225776</v>
      </c>
      <c r="F6" s="8">
        <f>E6-入力!$B$13</f>
        <v>-74224</v>
      </c>
    </row>
    <row r="7" spans="1:6" ht="15" x14ac:dyDescent="0.3">
      <c r="A7" s="18">
        <v>1.03</v>
      </c>
      <c r="B7" s="8">
        <f>入力!$B$19*A7</f>
        <v>64890000</v>
      </c>
      <c r="C7" s="8">
        <f>入力!$B$5*A7</f>
        <v>22145000</v>
      </c>
      <c r="D7" s="8">
        <f>IF(A7&gt;=入力!$B$16,入力!$B$15,IF(A7&gt;=1,入力!$B$14,0))*12</f>
        <v>360000</v>
      </c>
      <c r="E7" s="10">
        <f>C7-B7*入力!$B$9-入力!$B$20-D7</f>
        <v>739988</v>
      </c>
      <c r="F7" s="8">
        <f>E7-入力!$B$13</f>
        <v>439988</v>
      </c>
    </row>
    <row r="8" spans="1:6" ht="15" x14ac:dyDescent="0.3">
      <c r="A8" s="18">
        <v>1.05</v>
      </c>
      <c r="B8" s="8">
        <f>入力!$B$19*A8</f>
        <v>66150000</v>
      </c>
      <c r="C8" s="8">
        <f>入力!$B$5*A8</f>
        <v>22575000</v>
      </c>
      <c r="D8" s="8">
        <f>IF(A8&gt;=入力!$B$16,入力!$B$15,IF(A8&gt;=1,入力!$B$14,0))*12</f>
        <v>600000</v>
      </c>
      <c r="E8" s="10">
        <f>C8-B8*入力!$B$9-入力!$B$20-D8</f>
        <v>842796</v>
      </c>
      <c r="F8" s="8">
        <f>E8-入力!$B$13</f>
        <v>542796</v>
      </c>
    </row>
    <row r="9" spans="1:6" ht="15" x14ac:dyDescent="0.3">
      <c r="A9" s="18">
        <v>1.1000000000000001</v>
      </c>
      <c r="B9" s="8">
        <f>入力!$B$19*A9</f>
        <v>69300000</v>
      </c>
      <c r="C9" s="8">
        <f>入力!$B$5*A9</f>
        <v>23650000.000000004</v>
      </c>
      <c r="D9" s="8">
        <f>IF(A9&gt;=入力!$B$16,入力!$B$15,IF(A9&gt;=1,入力!$B$14,0))*12</f>
        <v>600000</v>
      </c>
      <c r="E9" s="10">
        <f>C9-B9*入力!$B$9-入力!$B$20-D9</f>
        <v>1699816.0000000037</v>
      </c>
      <c r="F9" s="8">
        <f>E9-入力!$B$13</f>
        <v>1399816.0000000037</v>
      </c>
    </row>
    <row r="11" spans="1:6" ht="15" x14ac:dyDescent="0.3">
      <c r="A11" s="2" t="s">
        <v>97</v>
      </c>
      <c r="E11" s="8">
        <f>入力!B19*0.01*入力!B21</f>
        <v>171404.00000000003</v>
      </c>
    </row>
  </sheetData>
  <phoneticPr fontId="9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showGridLines="0" workbookViewId="0"/>
  </sheetViews>
  <sheetFormatPr defaultRowHeight="13.2" x14ac:dyDescent="0.2"/>
  <cols>
    <col min="1" max="1" width="10" customWidth="1"/>
    <col min="2" max="2" width="16" customWidth="1"/>
    <col min="3" max="3" width="14" customWidth="1"/>
    <col min="4" max="5" width="16" customWidth="1"/>
  </cols>
  <sheetData>
    <row r="1" spans="1:5" ht="18.600000000000001" x14ac:dyDescent="0.35">
      <c r="A1" s="1" t="s">
        <v>98</v>
      </c>
    </row>
    <row r="3" spans="1:5" ht="31.95" customHeight="1" x14ac:dyDescent="0.2">
      <c r="A3" s="5" t="s">
        <v>99</v>
      </c>
      <c r="B3" s="5" t="s">
        <v>80</v>
      </c>
      <c r="C3" s="5" t="s">
        <v>96</v>
      </c>
      <c r="D3" s="5" t="s">
        <v>90</v>
      </c>
      <c r="E3" s="5" t="s">
        <v>92</v>
      </c>
    </row>
    <row r="4" spans="1:5" ht="15" x14ac:dyDescent="0.3">
      <c r="A4" s="15">
        <v>0.31</v>
      </c>
      <c r="B4" s="8">
        <f>入力!$B$19*A4</f>
        <v>19530000</v>
      </c>
      <c r="C4" s="8">
        <f>IF(B4&gt;=入力!$B$5*入力!$B$16-1,入力!$B$15,IF(B4&gt;=入力!$B$5-1,入力!$B$14,0))*12</f>
        <v>0</v>
      </c>
      <c r="D4" s="10">
        <f>B4-入力!$B$19*入力!$B$9-入力!$B$20-C4</f>
        <v>-1384224</v>
      </c>
      <c r="E4" s="8">
        <f>D4-入力!$B$13</f>
        <v>-1684224</v>
      </c>
    </row>
    <row r="5" spans="1:5" ht="15" x14ac:dyDescent="0.3">
      <c r="A5" s="15">
        <v>0.32</v>
      </c>
      <c r="B5" s="8">
        <f>入力!$B$19*A5</f>
        <v>20160000</v>
      </c>
      <c r="C5" s="8">
        <f>IF(B5&gt;=入力!$B$5*入力!$B$16-1,入力!$B$15,IF(B5&gt;=入力!$B$5-1,入力!$B$14,0))*12</f>
        <v>0</v>
      </c>
      <c r="D5" s="10">
        <f>B5-入力!$B$19*入力!$B$9-入力!$B$20-C5</f>
        <v>-754224</v>
      </c>
      <c r="E5" s="8">
        <f>D5-入力!$B$13</f>
        <v>-1054224</v>
      </c>
    </row>
    <row r="6" spans="1:5" ht="15" x14ac:dyDescent="0.3">
      <c r="A6" s="15">
        <v>0.33</v>
      </c>
      <c r="B6" s="8">
        <f>入力!$B$19*A6</f>
        <v>20790000</v>
      </c>
      <c r="C6" s="8">
        <f>IF(B6&gt;=入力!$B$5*入力!$B$16-1,入力!$B$15,IF(B6&gt;=入力!$B$5-1,入力!$B$14,0))*12</f>
        <v>0</v>
      </c>
      <c r="D6" s="10">
        <f>B6-入力!$B$19*入力!$B$9-入力!$B$20-C6</f>
        <v>-124224</v>
      </c>
      <c r="E6" s="8">
        <f>D6-入力!$B$13</f>
        <v>-424224</v>
      </c>
    </row>
    <row r="7" spans="1:5" ht="15" x14ac:dyDescent="0.3">
      <c r="A7" s="15">
        <f>入力!B6</f>
        <v>0.34126984126984128</v>
      </c>
      <c r="B7" s="8">
        <f>入力!$B$19*A7</f>
        <v>21500000</v>
      </c>
      <c r="C7" s="8">
        <f>IF(B7&gt;=入力!$B$5*入力!$B$16-1,入力!$B$15,IF(B7&gt;=入力!$B$5-1,入力!$B$14,0))*12</f>
        <v>360000</v>
      </c>
      <c r="D7" s="10">
        <f>B7-入力!$B$19*入力!$B$9-入力!$B$20-C7</f>
        <v>225776</v>
      </c>
      <c r="E7" s="8">
        <f>D7-入力!$B$13</f>
        <v>-74224</v>
      </c>
    </row>
    <row r="8" spans="1:5" ht="15" x14ac:dyDescent="0.3">
      <c r="A8" s="15">
        <v>0.35</v>
      </c>
      <c r="B8" s="8">
        <f>入力!$B$19*A8</f>
        <v>22050000</v>
      </c>
      <c r="C8" s="8">
        <f>IF(B8&gt;=入力!$B$5*入力!$B$16-1,入力!$B$15,IF(B8&gt;=入力!$B$5-1,入力!$B$14,0))*12</f>
        <v>360000</v>
      </c>
      <c r="D8" s="10">
        <f>B8-入力!$B$19*入力!$B$9-入力!$B$20-C8</f>
        <v>775776</v>
      </c>
      <c r="E8" s="8">
        <f>D8-入力!$B$13</f>
        <v>475776</v>
      </c>
    </row>
    <row r="9" spans="1:5" ht="15" x14ac:dyDescent="0.3">
      <c r="A9" s="15">
        <v>0.36</v>
      </c>
      <c r="B9" s="8">
        <f>入力!$B$19*A9</f>
        <v>22680000</v>
      </c>
      <c r="C9" s="8">
        <f>IF(B9&gt;=入力!$B$5*入力!$B$16-1,入力!$B$15,IF(B9&gt;=入力!$B$5-1,入力!$B$14,0))*12</f>
        <v>600000</v>
      </c>
      <c r="D9" s="10">
        <f>B9-入力!$B$19*入力!$B$9-入力!$B$20-C9</f>
        <v>1165776</v>
      </c>
      <c r="E9" s="8">
        <f>D9-入力!$B$13</f>
        <v>865776</v>
      </c>
    </row>
    <row r="11" spans="1:5" ht="15" x14ac:dyDescent="0.3">
      <c r="A11" s="2" t="s">
        <v>100</v>
      </c>
      <c r="D11" s="8">
        <f>入力!B19*0.01</f>
        <v>630000</v>
      </c>
    </row>
  </sheetData>
  <phoneticPr fontId="9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"/>
  <sheetViews>
    <sheetView showGridLines="0" workbookViewId="0"/>
  </sheetViews>
  <sheetFormatPr defaultRowHeight="13.2" x14ac:dyDescent="0.2"/>
  <cols>
    <col min="1" max="1" width="8" customWidth="1"/>
    <col min="2" max="2" width="14" customWidth="1"/>
    <col min="3" max="3" width="8" customWidth="1"/>
    <col min="4" max="13" width="14" customWidth="1"/>
  </cols>
  <sheetData>
    <row r="1" spans="1:12" ht="18.600000000000001" x14ac:dyDescent="0.35">
      <c r="A1" s="1" t="s">
        <v>101</v>
      </c>
    </row>
    <row r="2" spans="1:12" ht="15" x14ac:dyDescent="0.3">
      <c r="A2" s="2" t="s">
        <v>102</v>
      </c>
    </row>
    <row r="3" spans="1:12" ht="15" x14ac:dyDescent="0.3">
      <c r="A3" s="2" t="s">
        <v>103</v>
      </c>
    </row>
    <row r="5" spans="1:12" ht="31.95" customHeight="1" x14ac:dyDescent="0.2">
      <c r="A5" s="5" t="s">
        <v>4</v>
      </c>
      <c r="B5" s="5" t="s">
        <v>104</v>
      </c>
      <c r="C5" s="5" t="s">
        <v>105</v>
      </c>
      <c r="D5" s="5" t="s">
        <v>8</v>
      </c>
      <c r="E5" s="5" t="s">
        <v>106</v>
      </c>
      <c r="F5" s="5" t="s">
        <v>107</v>
      </c>
      <c r="G5" s="5" t="s">
        <v>108</v>
      </c>
      <c r="H5" s="5" t="s">
        <v>109</v>
      </c>
      <c r="I5" s="5" t="s">
        <v>110</v>
      </c>
      <c r="J5" s="5" t="s">
        <v>111</v>
      </c>
      <c r="K5" s="5" t="s">
        <v>112</v>
      </c>
      <c r="L5" s="5" t="s">
        <v>83</v>
      </c>
    </row>
    <row r="6" spans="1:12" ht="15" x14ac:dyDescent="0.3">
      <c r="A6" s="2" t="s">
        <v>13</v>
      </c>
      <c r="B6" s="14">
        <v>3040292</v>
      </c>
      <c r="C6" s="16">
        <f t="shared" ref="C6:C17" si="0">B6/SUM($B$6:$B$17)</f>
        <v>5.6658124224834294E-2</v>
      </c>
      <c r="D6" s="12">
        <v>3600000</v>
      </c>
      <c r="E6" s="8">
        <f>ROUND(入力!$B$5*C6,-3)</f>
        <v>1218000</v>
      </c>
      <c r="F6" s="12">
        <v>1200000</v>
      </c>
      <c r="G6" s="8">
        <f>ROUND(F6*入力!$B$16/50000,0)*50000</f>
        <v>1250000</v>
      </c>
      <c r="H6" s="8">
        <f>F6-D6*入力!$B$9-入力!$B$20/12-入力!$B$14</f>
        <v>-458672</v>
      </c>
      <c r="I6" s="8">
        <f>SUM($H$6:H6)</f>
        <v>-458672</v>
      </c>
      <c r="J6" s="12"/>
      <c r="K6" s="11" t="str">
        <f t="shared" ref="K6:K17" si="1">IF(J6="","",IF(J6&gt;=G6,2,IF(J6&gt;=F6,1,0)))</f>
        <v/>
      </c>
      <c r="L6" s="8">
        <f>IF(OR(K6="",K6=0),0,IF(K6=2,入力!$B$15,入力!$B$14))</f>
        <v>0</v>
      </c>
    </row>
    <row r="7" spans="1:12" ht="15" x14ac:dyDescent="0.3">
      <c r="A7" s="2" t="s">
        <v>14</v>
      </c>
      <c r="B7" s="14">
        <v>3638478</v>
      </c>
      <c r="C7" s="16">
        <f t="shared" si="0"/>
        <v>6.7805769483104461E-2</v>
      </c>
      <c r="D7" s="12">
        <v>4300000</v>
      </c>
      <c r="E7" s="8">
        <f>ROUND(入力!$B$5*C7,-3)</f>
        <v>1458000</v>
      </c>
      <c r="F7" s="12">
        <v>1450000</v>
      </c>
      <c r="G7" s="8">
        <f>ROUND(F7*入力!$B$16/50000,0)*50000</f>
        <v>1500000</v>
      </c>
      <c r="H7" s="8">
        <f>F7-D7*入力!$B$9-入力!$B$20/12-入力!$B$14</f>
        <v>-257112</v>
      </c>
      <c r="I7" s="8">
        <f>SUM($H$6:H7)</f>
        <v>-715784</v>
      </c>
      <c r="J7" s="12"/>
      <c r="K7" s="11" t="str">
        <f t="shared" si="1"/>
        <v/>
      </c>
      <c r="L7" s="8">
        <f>IF(OR(K7="",K7=0),0,IF(K7=2,入力!$B$15,入力!$B$14))</f>
        <v>0</v>
      </c>
    </row>
    <row r="8" spans="1:12" ht="15" x14ac:dyDescent="0.3">
      <c r="A8" s="2" t="s">
        <v>15</v>
      </c>
      <c r="B8" s="14">
        <v>4934704</v>
      </c>
      <c r="C8" s="16">
        <f t="shared" si="0"/>
        <v>9.1961914265072789E-2</v>
      </c>
      <c r="D8" s="12">
        <v>5800000</v>
      </c>
      <c r="E8" s="8">
        <f>ROUND(入力!$B$5*C8,-3)</f>
        <v>1977000</v>
      </c>
      <c r="F8" s="12">
        <v>2000000</v>
      </c>
      <c r="G8" s="8">
        <f>ROUND(F8*入力!$B$16/50000,0)*50000</f>
        <v>2100000</v>
      </c>
      <c r="H8" s="8">
        <f>F8-D8*入力!$B$9-入力!$B$20/12-入力!$B$14</f>
        <v>189088</v>
      </c>
      <c r="I8" s="8">
        <f>SUM($H$6:H8)</f>
        <v>-526696</v>
      </c>
      <c r="J8" s="12"/>
      <c r="K8" s="11" t="str">
        <f t="shared" si="1"/>
        <v/>
      </c>
      <c r="L8" s="8">
        <f>IF(OR(K8="",K8=0),0,IF(K8=2,入力!$B$15,入力!$B$14))</f>
        <v>0</v>
      </c>
    </row>
    <row r="9" spans="1:12" ht="15" x14ac:dyDescent="0.3">
      <c r="A9" s="2" t="s">
        <v>16</v>
      </c>
      <c r="B9" s="14">
        <v>5149749</v>
      </c>
      <c r="C9" s="16">
        <f t="shared" si="0"/>
        <v>9.5969439306723234E-2</v>
      </c>
      <c r="D9" s="12">
        <v>6000000</v>
      </c>
      <c r="E9" s="8">
        <f>ROUND(入力!$B$5*C9,-3)</f>
        <v>2063000</v>
      </c>
      <c r="F9" s="12">
        <v>2050000</v>
      </c>
      <c r="G9" s="8">
        <f>ROUND(F9*入力!$B$16/50000,0)*50000</f>
        <v>2150000</v>
      </c>
      <c r="H9" s="8">
        <f>F9-D9*入力!$B$9-入力!$B$20/12-入力!$B$14</f>
        <v>225248</v>
      </c>
      <c r="I9" s="8">
        <f>SUM($H$6:H9)</f>
        <v>-301448</v>
      </c>
      <c r="J9" s="12"/>
      <c r="K9" s="11" t="str">
        <f t="shared" si="1"/>
        <v/>
      </c>
      <c r="L9" s="8">
        <f>IF(OR(K9="",K9=0),0,IF(K9=2,入力!$B$15,入力!$B$14))</f>
        <v>0</v>
      </c>
    </row>
    <row r="10" spans="1:12" ht="15" x14ac:dyDescent="0.3">
      <c r="A10" s="2" t="s">
        <v>17</v>
      </c>
      <c r="B10" s="14">
        <v>6820952</v>
      </c>
      <c r="C10" s="16">
        <f t="shared" si="0"/>
        <v>0.12711356203536764</v>
      </c>
      <c r="D10" s="12">
        <v>8000000</v>
      </c>
      <c r="E10" s="8">
        <f>ROUND(入力!$B$5*C10,-3)</f>
        <v>2733000</v>
      </c>
      <c r="F10" s="12">
        <v>2750000</v>
      </c>
      <c r="G10" s="8">
        <f>ROUND(F10*入力!$B$16/50000,0)*50000</f>
        <v>2900000</v>
      </c>
      <c r="H10" s="8">
        <f>F10-D10*入力!$B$9-入力!$B$20/12-入力!$B$14</f>
        <v>786848</v>
      </c>
      <c r="I10" s="8">
        <f>SUM($H$6:H10)</f>
        <v>485400</v>
      </c>
      <c r="J10" s="12"/>
      <c r="K10" s="11" t="str">
        <f t="shared" si="1"/>
        <v/>
      </c>
      <c r="L10" s="8">
        <f>IF(OR(K10="",K10=0),0,IF(K10=2,入力!$B$15,入力!$B$14))</f>
        <v>0</v>
      </c>
    </row>
    <row r="11" spans="1:12" ht="15" x14ac:dyDescent="0.3">
      <c r="A11" s="2" t="s">
        <v>18</v>
      </c>
      <c r="B11" s="14">
        <v>4850701</v>
      </c>
      <c r="C11" s="16">
        <f t="shared" si="0"/>
        <v>9.0396455286376423E-2</v>
      </c>
      <c r="D11" s="12">
        <v>5700000</v>
      </c>
      <c r="E11" s="8">
        <f>ROUND(入力!$B$5*C11,-3)</f>
        <v>1944000</v>
      </c>
      <c r="F11" s="12">
        <v>1950000</v>
      </c>
      <c r="G11" s="8">
        <f>ROUND(F11*入力!$B$16/50000,0)*50000</f>
        <v>2050000</v>
      </c>
      <c r="H11" s="8">
        <f>F11-D11*入力!$B$9-入力!$B$20/12-入力!$B$14</f>
        <v>146008</v>
      </c>
      <c r="I11" s="8">
        <f>SUM($H$6:H11)</f>
        <v>631408</v>
      </c>
      <c r="J11" s="12"/>
      <c r="K11" s="11" t="str">
        <f t="shared" si="1"/>
        <v/>
      </c>
      <c r="L11" s="8">
        <f>IF(OR(K11="",K11=0),0,IF(K11=2,入力!$B$15,入力!$B$14))</f>
        <v>0</v>
      </c>
    </row>
    <row r="12" spans="1:12" ht="15" x14ac:dyDescent="0.3">
      <c r="A12" s="2" t="s">
        <v>19</v>
      </c>
      <c r="B12" s="14">
        <v>2795656</v>
      </c>
      <c r="C12" s="16">
        <f t="shared" si="0"/>
        <v>5.2099148679766075E-2</v>
      </c>
      <c r="D12" s="12">
        <v>3300000</v>
      </c>
      <c r="E12" s="8">
        <f>ROUND(入力!$B$5*C12,-3)</f>
        <v>1120000</v>
      </c>
      <c r="F12" s="12">
        <v>1100000</v>
      </c>
      <c r="G12" s="8">
        <f>ROUND(F12*入力!$B$16/50000,0)*50000</f>
        <v>1150000</v>
      </c>
      <c r="H12" s="8">
        <f>F12-D12*入力!$B$9-入力!$B$20/12-入力!$B$14</f>
        <v>-537912</v>
      </c>
      <c r="I12" s="8">
        <f>SUM($H$6:H12)</f>
        <v>93496</v>
      </c>
      <c r="J12" s="12"/>
      <c r="K12" s="11" t="str">
        <f t="shared" si="1"/>
        <v/>
      </c>
      <c r="L12" s="8">
        <f>IF(OR(K12="",K12=0),0,IF(K12=2,入力!$B$15,入力!$B$14))</f>
        <v>0</v>
      </c>
    </row>
    <row r="13" spans="1:12" ht="15" x14ac:dyDescent="0.3">
      <c r="A13" s="2" t="s">
        <v>20</v>
      </c>
      <c r="B13" s="14">
        <v>4419804</v>
      </c>
      <c r="C13" s="16">
        <f t="shared" si="0"/>
        <v>8.2366366152139173E-2</v>
      </c>
      <c r="D13" s="12">
        <v>5200000</v>
      </c>
      <c r="E13" s="8">
        <f>ROUND(入力!$B$5*C13,-3)</f>
        <v>1771000</v>
      </c>
      <c r="F13" s="12">
        <v>1750000</v>
      </c>
      <c r="G13" s="8">
        <f>ROUND(F13*入力!$B$16/50000,0)*50000</f>
        <v>1850000</v>
      </c>
      <c r="H13" s="8">
        <f>F13-D13*入力!$B$9-入力!$B$20/12-入力!$B$14</f>
        <v>-19392</v>
      </c>
      <c r="I13" s="8">
        <f>SUM($H$6:H13)</f>
        <v>74104</v>
      </c>
      <c r="J13" s="12"/>
      <c r="K13" s="11" t="str">
        <f t="shared" si="1"/>
        <v/>
      </c>
      <c r="L13" s="8">
        <f>IF(OR(K13="",K13=0),0,IF(K13=2,入力!$B$15,入力!$B$14))</f>
        <v>0</v>
      </c>
    </row>
    <row r="14" spans="1:12" ht="15" x14ac:dyDescent="0.3">
      <c r="A14" s="2" t="s">
        <v>21</v>
      </c>
      <c r="B14" s="14">
        <v>3581469</v>
      </c>
      <c r="C14" s="16">
        <f t="shared" si="0"/>
        <v>6.6743363962867078E-2</v>
      </c>
      <c r="D14" s="12">
        <v>4200000</v>
      </c>
      <c r="E14" s="8">
        <f>ROUND(入力!$B$5*C14,-3)</f>
        <v>1435000</v>
      </c>
      <c r="F14" s="12">
        <v>1450000</v>
      </c>
      <c r="G14" s="8">
        <f>ROUND(F14*入力!$B$16/50000,0)*50000</f>
        <v>1500000</v>
      </c>
      <c r="H14" s="8">
        <f>F14-D14*入力!$B$9-入力!$B$20/12-入力!$B$14</f>
        <v>-250192</v>
      </c>
      <c r="I14" s="8">
        <f>SUM($H$6:H14)</f>
        <v>-176088</v>
      </c>
      <c r="J14" s="12"/>
      <c r="K14" s="11" t="str">
        <f t="shared" si="1"/>
        <v/>
      </c>
      <c r="L14" s="8">
        <f>IF(OR(K14="",K14=0),0,IF(K14=2,入力!$B$15,入力!$B$14))</f>
        <v>0</v>
      </c>
    </row>
    <row r="15" spans="1:12" ht="15" x14ac:dyDescent="0.3">
      <c r="A15" s="2" t="s">
        <v>22</v>
      </c>
      <c r="B15" s="14">
        <v>4799124</v>
      </c>
      <c r="C15" s="16">
        <f t="shared" si="0"/>
        <v>8.943527916475906E-2</v>
      </c>
      <c r="D15" s="12">
        <v>5600000</v>
      </c>
      <c r="E15" s="8">
        <f>ROUND(入力!$B$5*C15,-3)</f>
        <v>1923000</v>
      </c>
      <c r="F15" s="12">
        <v>1950000</v>
      </c>
      <c r="G15" s="8">
        <f>ROUND(F15*入力!$B$16/50000,0)*50000</f>
        <v>2050000</v>
      </c>
      <c r="H15" s="8">
        <f>F15-D15*入力!$B$9-入力!$B$20/12-入力!$B$14</f>
        <v>152928</v>
      </c>
      <c r="I15" s="8">
        <f>SUM($H$6:H15)</f>
        <v>-23160</v>
      </c>
      <c r="J15" s="12"/>
      <c r="K15" s="11" t="str">
        <f t="shared" si="1"/>
        <v/>
      </c>
      <c r="L15" s="8">
        <f>IF(OR(K15="",K15=0),0,IF(K15=2,入力!$B$15,入力!$B$14))</f>
        <v>0</v>
      </c>
    </row>
    <row r="16" spans="1:12" ht="15" x14ac:dyDescent="0.3">
      <c r="A16" s="2" t="s">
        <v>23</v>
      </c>
      <c r="B16" s="14">
        <v>4888307</v>
      </c>
      <c r="C16" s="16">
        <f t="shared" si="0"/>
        <v>9.1097271332861135E-2</v>
      </c>
      <c r="D16" s="12">
        <v>5700000</v>
      </c>
      <c r="E16" s="8">
        <f>ROUND(入力!$B$5*C16,-3)</f>
        <v>1959000</v>
      </c>
      <c r="F16" s="12">
        <v>1950000</v>
      </c>
      <c r="G16" s="8">
        <f>ROUND(F16*入力!$B$16/50000,0)*50000</f>
        <v>2050000</v>
      </c>
      <c r="H16" s="8">
        <f>F16-D16*入力!$B$9-入力!$B$20/12-入力!$B$14</f>
        <v>146008</v>
      </c>
      <c r="I16" s="8">
        <f>SUM($H$6:H16)</f>
        <v>122848</v>
      </c>
      <c r="J16" s="12"/>
      <c r="K16" s="11" t="str">
        <f t="shared" si="1"/>
        <v/>
      </c>
      <c r="L16" s="8">
        <f>IF(OR(K16="",K16=0),0,IF(K16=2,入力!$B$15,入力!$B$14))</f>
        <v>0</v>
      </c>
    </row>
    <row r="17" spans="1:12" ht="15" x14ac:dyDescent="0.3">
      <c r="A17" s="2" t="s">
        <v>24</v>
      </c>
      <c r="B17" s="14">
        <v>4741065</v>
      </c>
      <c r="C17" s="16">
        <f t="shared" si="0"/>
        <v>8.8353306106128626E-2</v>
      </c>
      <c r="D17" s="12">
        <v>5600000</v>
      </c>
      <c r="E17" s="8">
        <f>ROUND(入力!$B$5*C17,-3)</f>
        <v>1900000</v>
      </c>
      <c r="F17" s="12">
        <v>1900000</v>
      </c>
      <c r="G17" s="8">
        <f>ROUND(F17*入力!$B$16/50000,0)*50000</f>
        <v>2000000</v>
      </c>
      <c r="H17" s="8">
        <f>F17-D17*入力!$B$9-入力!$B$20/12-入力!$B$14</f>
        <v>102928</v>
      </c>
      <c r="I17" s="8">
        <f>SUM($H$6:H17)</f>
        <v>225776</v>
      </c>
      <c r="J17" s="12"/>
      <c r="K17" s="11" t="str">
        <f t="shared" si="1"/>
        <v/>
      </c>
      <c r="L17" s="8">
        <f>IF(OR(K17="",K17=0),0,IF(K17=2,入力!$B$15,入力!$B$14))</f>
        <v>0</v>
      </c>
    </row>
    <row r="18" spans="1:12" ht="15" x14ac:dyDescent="0.3">
      <c r="A18" s="3" t="s">
        <v>25</v>
      </c>
      <c r="B18" s="10">
        <f>SUM(B6:B17)</f>
        <v>53660301</v>
      </c>
      <c r="D18" s="10">
        <f>SUM(D6:D17)</f>
        <v>63000000</v>
      </c>
      <c r="E18" s="10">
        <f>SUM(E6:E17)</f>
        <v>21501000</v>
      </c>
      <c r="F18" s="10">
        <f>SUM(F6:F17)</f>
        <v>21500000</v>
      </c>
      <c r="G18" s="10">
        <f>SUM(G6:G17)</f>
        <v>22550000</v>
      </c>
      <c r="H18" s="10">
        <f>SUM(H6:H17)</f>
        <v>225776</v>
      </c>
      <c r="J18" s="10">
        <f>SUM(J6:J17)</f>
        <v>0</v>
      </c>
      <c r="L18" s="10">
        <f>SUM(L6:L17)</f>
        <v>0</v>
      </c>
    </row>
    <row r="19" spans="1:12" ht="15" x14ac:dyDescent="0.3">
      <c r="A19" s="2" t="s">
        <v>26</v>
      </c>
      <c r="D19" s="8">
        <f>D18-入力!B19</f>
        <v>0</v>
      </c>
      <c r="F19" s="8">
        <f>F18-入力!B5</f>
        <v>0</v>
      </c>
    </row>
    <row r="20" spans="1:12" ht="15" x14ac:dyDescent="0.3">
      <c r="A20" s="2" t="s">
        <v>113</v>
      </c>
    </row>
  </sheetData>
  <phoneticPr fontId="9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0"/>
  <sheetViews>
    <sheetView showGridLines="0" workbookViewId="0"/>
  </sheetViews>
  <sheetFormatPr defaultRowHeight="13.2" x14ac:dyDescent="0.2"/>
  <cols>
    <col min="1" max="1" width="8" customWidth="1"/>
    <col min="2" max="2" width="14" customWidth="1"/>
    <col min="3" max="3" width="8" customWidth="1"/>
    <col min="4" max="13" width="14" customWidth="1"/>
  </cols>
  <sheetData>
    <row r="1" spans="1:13" ht="18.600000000000001" x14ac:dyDescent="0.35">
      <c r="A1" s="1" t="s">
        <v>114</v>
      </c>
    </row>
    <row r="2" spans="1:13" ht="15" x14ac:dyDescent="0.3">
      <c r="A2" s="2" t="s">
        <v>115</v>
      </c>
    </row>
    <row r="3" spans="1:13" ht="15" x14ac:dyDescent="0.3">
      <c r="A3" s="2" t="s">
        <v>103</v>
      </c>
    </row>
    <row r="5" spans="1:13" ht="31.95" customHeight="1" x14ac:dyDescent="0.2">
      <c r="A5" s="5" t="s">
        <v>4</v>
      </c>
      <c r="B5" s="5" t="s">
        <v>116</v>
      </c>
      <c r="C5" s="5" t="s">
        <v>105</v>
      </c>
      <c r="D5" s="5" t="s">
        <v>8</v>
      </c>
      <c r="E5" s="5" t="s">
        <v>106</v>
      </c>
      <c r="F5" s="5" t="s">
        <v>107</v>
      </c>
      <c r="G5" s="5" t="s">
        <v>108</v>
      </c>
      <c r="H5" s="5" t="s">
        <v>109</v>
      </c>
      <c r="I5" s="5" t="s">
        <v>110</v>
      </c>
      <c r="J5" s="5" t="s">
        <v>117</v>
      </c>
      <c r="K5" s="5" t="s">
        <v>111</v>
      </c>
      <c r="L5" s="5" t="s">
        <v>112</v>
      </c>
      <c r="M5" s="5" t="s">
        <v>83</v>
      </c>
    </row>
    <row r="6" spans="1:13" ht="15" x14ac:dyDescent="0.3">
      <c r="A6" s="2" t="s">
        <v>13</v>
      </c>
      <c r="B6" s="14">
        <v>3500000</v>
      </c>
      <c r="C6" s="16">
        <f t="shared" ref="C6:C17" si="0">B6/SUM($B$6:$B$17)</f>
        <v>5.8333333333333334E-2</v>
      </c>
      <c r="D6" s="12">
        <v>3700000</v>
      </c>
      <c r="E6" s="8">
        <f>ROUND(入力!$B$5*C6,-3)</f>
        <v>1254000</v>
      </c>
      <c r="F6" s="12">
        <v>1250000</v>
      </c>
      <c r="G6" s="8">
        <f>ROUND(F6*入力!$B$16/50000,0)*50000</f>
        <v>1300000</v>
      </c>
      <c r="H6" s="8">
        <f>F6-D6*入力!$B$9-入力!$B$20/12-入力!$B$14</f>
        <v>-415592</v>
      </c>
      <c r="I6" s="8">
        <f>SUM($H$6:H6)</f>
        <v>-415592</v>
      </c>
      <c r="J6" s="8">
        <f>F6-月別目標と営業利益!F6</f>
        <v>50000</v>
      </c>
      <c r="K6" s="12"/>
      <c r="L6" s="11" t="str">
        <f t="shared" ref="L6:L17" si="1">IF(K6="","",IF(K6&gt;=G6,2,IF(K6&gt;=F6,1,0)))</f>
        <v/>
      </c>
      <c r="M6" s="8">
        <f>IF(OR(L6="",L6=0),0,IF(L6=2,入力!$B$15,入力!$B$14))</f>
        <v>0</v>
      </c>
    </row>
    <row r="7" spans="1:13" ht="15" x14ac:dyDescent="0.3">
      <c r="A7" s="2" t="s">
        <v>14</v>
      </c>
      <c r="B7" s="14">
        <v>4500000</v>
      </c>
      <c r="C7" s="16">
        <f t="shared" si="0"/>
        <v>7.4999999999999997E-2</v>
      </c>
      <c r="D7" s="12">
        <v>4700000</v>
      </c>
      <c r="E7" s="8">
        <f>ROUND(入力!$B$5*C7,-3)</f>
        <v>1613000</v>
      </c>
      <c r="F7" s="12">
        <v>1600000</v>
      </c>
      <c r="G7" s="8">
        <f>ROUND(F7*入力!$B$16/50000,0)*50000</f>
        <v>1700000</v>
      </c>
      <c r="H7" s="8">
        <f>F7-D7*入力!$B$9-入力!$B$20/12-入力!$B$14</f>
        <v>-134792</v>
      </c>
      <c r="I7" s="8">
        <f>SUM($H$6:H7)</f>
        <v>-550384</v>
      </c>
      <c r="J7" s="8">
        <f>F7-月別目標と営業利益!F7</f>
        <v>150000</v>
      </c>
      <c r="K7" s="12"/>
      <c r="L7" s="11" t="str">
        <f t="shared" si="1"/>
        <v/>
      </c>
      <c r="M7" s="8">
        <f>IF(OR(L7="",L7=0),0,IF(L7=2,入力!$B$15,入力!$B$14))</f>
        <v>0</v>
      </c>
    </row>
    <row r="8" spans="1:13" ht="15" x14ac:dyDescent="0.3">
      <c r="A8" s="2" t="s">
        <v>15</v>
      </c>
      <c r="B8" s="14">
        <v>5500000</v>
      </c>
      <c r="C8" s="16">
        <f t="shared" si="0"/>
        <v>9.166666666666666E-2</v>
      </c>
      <c r="D8" s="12">
        <v>5800000</v>
      </c>
      <c r="E8" s="8">
        <f>ROUND(入力!$B$5*C8,-3)</f>
        <v>1971000</v>
      </c>
      <c r="F8" s="12">
        <v>2000000</v>
      </c>
      <c r="G8" s="8">
        <f>ROUND(F8*入力!$B$16/50000,0)*50000</f>
        <v>2100000</v>
      </c>
      <c r="H8" s="8">
        <f>F8-D8*入力!$B$9-入力!$B$20/12-入力!$B$14</f>
        <v>189088</v>
      </c>
      <c r="I8" s="8">
        <f>SUM($H$6:H8)</f>
        <v>-361296</v>
      </c>
      <c r="J8" s="8">
        <f>F8-月別目標と営業利益!F8</f>
        <v>0</v>
      </c>
      <c r="K8" s="12"/>
      <c r="L8" s="11" t="str">
        <f t="shared" si="1"/>
        <v/>
      </c>
      <c r="M8" s="8">
        <f>IF(OR(L8="",L8=0),0,IF(L8=2,入力!$B$15,入力!$B$14))</f>
        <v>0</v>
      </c>
    </row>
    <row r="9" spans="1:13" ht="15" x14ac:dyDescent="0.3">
      <c r="A9" s="2" t="s">
        <v>16</v>
      </c>
      <c r="B9" s="14">
        <v>5500000</v>
      </c>
      <c r="C9" s="16">
        <f t="shared" si="0"/>
        <v>9.166666666666666E-2</v>
      </c>
      <c r="D9" s="12">
        <v>5800000</v>
      </c>
      <c r="E9" s="8">
        <f>ROUND(入力!$B$5*C9,-3)</f>
        <v>1971000</v>
      </c>
      <c r="F9" s="12">
        <v>2000000</v>
      </c>
      <c r="G9" s="8">
        <f>ROUND(F9*入力!$B$16/50000,0)*50000</f>
        <v>2100000</v>
      </c>
      <c r="H9" s="8">
        <f>F9-D9*入力!$B$9-入力!$B$20/12-入力!$B$14</f>
        <v>189088</v>
      </c>
      <c r="I9" s="8">
        <f>SUM($H$6:H9)</f>
        <v>-172208</v>
      </c>
      <c r="J9" s="8">
        <f>F9-月別目標と営業利益!F9</f>
        <v>-50000</v>
      </c>
      <c r="K9" s="12"/>
      <c r="L9" s="11" t="str">
        <f t="shared" si="1"/>
        <v/>
      </c>
      <c r="M9" s="8">
        <f>IF(OR(L9="",L9=0),0,IF(L9=2,入力!$B$15,入力!$B$14))</f>
        <v>0</v>
      </c>
    </row>
    <row r="10" spans="1:13" ht="15" x14ac:dyDescent="0.3">
      <c r="A10" s="2" t="s">
        <v>17</v>
      </c>
      <c r="B10" s="14">
        <v>7000000</v>
      </c>
      <c r="C10" s="16">
        <f t="shared" si="0"/>
        <v>0.11666666666666667</v>
      </c>
      <c r="D10" s="12">
        <v>7300000</v>
      </c>
      <c r="E10" s="8">
        <f>ROUND(入力!$B$5*C10,-3)</f>
        <v>2508000</v>
      </c>
      <c r="F10" s="12">
        <v>2500000</v>
      </c>
      <c r="G10" s="8">
        <f>ROUND(F10*入力!$B$16/50000,0)*50000</f>
        <v>2650000</v>
      </c>
      <c r="H10" s="8">
        <f>F10-D10*入力!$B$9-入力!$B$20/12-入力!$B$14</f>
        <v>585288</v>
      </c>
      <c r="I10" s="8">
        <f>SUM($H$6:H10)</f>
        <v>413080</v>
      </c>
      <c r="J10" s="8">
        <f>F10-月別目標と営業利益!F10</f>
        <v>-250000</v>
      </c>
      <c r="K10" s="12"/>
      <c r="L10" s="11" t="str">
        <f t="shared" si="1"/>
        <v/>
      </c>
      <c r="M10" s="8">
        <f>IF(OR(L10="",L10=0),0,IF(L10=2,入力!$B$15,入力!$B$14))</f>
        <v>0</v>
      </c>
    </row>
    <row r="11" spans="1:13" ht="15" x14ac:dyDescent="0.3">
      <c r="A11" s="2" t="s">
        <v>18</v>
      </c>
      <c r="B11" s="14">
        <v>6000000</v>
      </c>
      <c r="C11" s="16">
        <f t="shared" si="0"/>
        <v>0.1</v>
      </c>
      <c r="D11" s="12">
        <v>6300000</v>
      </c>
      <c r="E11" s="8">
        <f>ROUND(入力!$B$5*C11,-3)</f>
        <v>2150000</v>
      </c>
      <c r="F11" s="12">
        <v>2100000</v>
      </c>
      <c r="G11" s="8">
        <f>ROUND(F11*入力!$B$16/50000,0)*50000</f>
        <v>2200000</v>
      </c>
      <c r="H11" s="8">
        <f>F11-D11*入力!$B$9-入力!$B$20/12-入力!$B$14</f>
        <v>254488</v>
      </c>
      <c r="I11" s="8">
        <f>SUM($H$6:H11)</f>
        <v>667568</v>
      </c>
      <c r="J11" s="8">
        <f>F11-月別目標と営業利益!F11</f>
        <v>150000</v>
      </c>
      <c r="K11" s="12"/>
      <c r="L11" s="11" t="str">
        <f t="shared" si="1"/>
        <v/>
      </c>
      <c r="M11" s="8">
        <f>IF(OR(L11="",L11=0),0,IF(L11=2,入力!$B$15,入力!$B$14))</f>
        <v>0</v>
      </c>
    </row>
    <row r="12" spans="1:13" ht="15" x14ac:dyDescent="0.3">
      <c r="A12" s="2" t="s">
        <v>19</v>
      </c>
      <c r="B12" s="14">
        <v>3500000</v>
      </c>
      <c r="C12" s="16">
        <f t="shared" si="0"/>
        <v>5.8333333333333334E-2</v>
      </c>
      <c r="D12" s="12">
        <v>3700000</v>
      </c>
      <c r="E12" s="8">
        <f>ROUND(入力!$B$5*C12,-3)</f>
        <v>1254000</v>
      </c>
      <c r="F12" s="12">
        <v>1250000</v>
      </c>
      <c r="G12" s="8">
        <f>ROUND(F12*入力!$B$16/50000,0)*50000</f>
        <v>1300000</v>
      </c>
      <c r="H12" s="8">
        <f>F12-D12*入力!$B$9-入力!$B$20/12-入力!$B$14</f>
        <v>-415592</v>
      </c>
      <c r="I12" s="8">
        <f>SUM($H$6:H12)</f>
        <v>251976</v>
      </c>
      <c r="J12" s="8">
        <f>F12-月別目標と営業利益!F12</f>
        <v>150000</v>
      </c>
      <c r="K12" s="12"/>
      <c r="L12" s="11" t="str">
        <f t="shared" si="1"/>
        <v/>
      </c>
      <c r="M12" s="8">
        <f>IF(OR(L12="",L12=0),0,IF(L12=2,入力!$B$15,入力!$B$14))</f>
        <v>0</v>
      </c>
    </row>
    <row r="13" spans="1:13" ht="15" x14ac:dyDescent="0.3">
      <c r="A13" s="2" t="s">
        <v>20</v>
      </c>
      <c r="B13" s="14">
        <v>5500000</v>
      </c>
      <c r="C13" s="16">
        <f t="shared" si="0"/>
        <v>9.166666666666666E-2</v>
      </c>
      <c r="D13" s="12">
        <v>5800000</v>
      </c>
      <c r="E13" s="8">
        <f>ROUND(入力!$B$5*C13,-3)</f>
        <v>1971000</v>
      </c>
      <c r="F13" s="12">
        <v>2000000</v>
      </c>
      <c r="G13" s="8">
        <f>ROUND(F13*入力!$B$16/50000,0)*50000</f>
        <v>2100000</v>
      </c>
      <c r="H13" s="8">
        <f>F13-D13*入力!$B$9-入力!$B$20/12-入力!$B$14</f>
        <v>189088</v>
      </c>
      <c r="I13" s="8">
        <f>SUM($H$6:H13)</f>
        <v>441064</v>
      </c>
      <c r="J13" s="8">
        <f>F13-月別目標と営業利益!F13</f>
        <v>250000</v>
      </c>
      <c r="K13" s="12"/>
      <c r="L13" s="11" t="str">
        <f t="shared" si="1"/>
        <v/>
      </c>
      <c r="M13" s="8">
        <f>IF(OR(L13="",L13=0),0,IF(L13=2,入力!$B$15,入力!$B$14))</f>
        <v>0</v>
      </c>
    </row>
    <row r="14" spans="1:13" ht="15" x14ac:dyDescent="0.3">
      <c r="A14" s="2" t="s">
        <v>21</v>
      </c>
      <c r="B14" s="14">
        <v>4500000</v>
      </c>
      <c r="C14" s="16">
        <f t="shared" si="0"/>
        <v>7.4999999999999997E-2</v>
      </c>
      <c r="D14" s="12">
        <v>4700000</v>
      </c>
      <c r="E14" s="8">
        <f>ROUND(入力!$B$5*C14,-3)</f>
        <v>1613000</v>
      </c>
      <c r="F14" s="12">
        <v>1600000</v>
      </c>
      <c r="G14" s="8">
        <f>ROUND(F14*入力!$B$16/50000,0)*50000</f>
        <v>1700000</v>
      </c>
      <c r="H14" s="8">
        <f>F14-D14*入力!$B$9-入力!$B$20/12-入力!$B$14</f>
        <v>-134792</v>
      </c>
      <c r="I14" s="8">
        <f>SUM($H$6:H14)</f>
        <v>306272</v>
      </c>
      <c r="J14" s="8">
        <f>F14-月別目標と営業利益!F14</f>
        <v>150000</v>
      </c>
      <c r="K14" s="12"/>
      <c r="L14" s="11" t="str">
        <f t="shared" si="1"/>
        <v/>
      </c>
      <c r="M14" s="8">
        <f>IF(OR(L14="",L14=0),0,IF(L14=2,入力!$B$15,入力!$B$14))</f>
        <v>0</v>
      </c>
    </row>
    <row r="15" spans="1:13" ht="15" x14ac:dyDescent="0.3">
      <c r="A15" s="2" t="s">
        <v>22</v>
      </c>
      <c r="B15" s="14">
        <v>4500000</v>
      </c>
      <c r="C15" s="16">
        <f t="shared" si="0"/>
        <v>7.4999999999999997E-2</v>
      </c>
      <c r="D15" s="12">
        <v>4700000</v>
      </c>
      <c r="E15" s="8">
        <f>ROUND(入力!$B$5*C15,-3)</f>
        <v>1613000</v>
      </c>
      <c r="F15" s="12">
        <v>1600000</v>
      </c>
      <c r="G15" s="8">
        <f>ROUND(F15*入力!$B$16/50000,0)*50000</f>
        <v>1700000</v>
      </c>
      <c r="H15" s="8">
        <f>F15-D15*入力!$B$9-入力!$B$20/12-入力!$B$14</f>
        <v>-134792</v>
      </c>
      <c r="I15" s="8">
        <f>SUM($H$6:H15)</f>
        <v>171480</v>
      </c>
      <c r="J15" s="8">
        <f>F15-月別目標と営業利益!F15</f>
        <v>-350000</v>
      </c>
      <c r="K15" s="12"/>
      <c r="L15" s="11" t="str">
        <f t="shared" si="1"/>
        <v/>
      </c>
      <c r="M15" s="8">
        <f>IF(OR(L15="",L15=0),0,IF(L15=2,入力!$B$15,入力!$B$14))</f>
        <v>0</v>
      </c>
    </row>
    <row r="16" spans="1:13" ht="15" x14ac:dyDescent="0.3">
      <c r="A16" s="2" t="s">
        <v>23</v>
      </c>
      <c r="B16" s="14">
        <v>5500000</v>
      </c>
      <c r="C16" s="16">
        <f t="shared" si="0"/>
        <v>9.166666666666666E-2</v>
      </c>
      <c r="D16" s="12">
        <v>5800000</v>
      </c>
      <c r="E16" s="8">
        <f>ROUND(入力!$B$5*C16,-3)</f>
        <v>1971000</v>
      </c>
      <c r="F16" s="12">
        <v>2000000</v>
      </c>
      <c r="G16" s="8">
        <f>ROUND(F16*入力!$B$16/50000,0)*50000</f>
        <v>2100000</v>
      </c>
      <c r="H16" s="8">
        <f>F16-D16*入力!$B$9-入力!$B$20/12-入力!$B$14</f>
        <v>189088</v>
      </c>
      <c r="I16" s="8">
        <f>SUM($H$6:H16)</f>
        <v>360568</v>
      </c>
      <c r="J16" s="8">
        <f>F16-月別目標と営業利益!F16</f>
        <v>50000</v>
      </c>
      <c r="K16" s="12"/>
      <c r="L16" s="11" t="str">
        <f t="shared" si="1"/>
        <v/>
      </c>
      <c r="M16" s="8">
        <f>IF(OR(L16="",L16=0),0,IF(L16=2,入力!$B$15,入力!$B$14))</f>
        <v>0</v>
      </c>
    </row>
    <row r="17" spans="1:13" ht="15" x14ac:dyDescent="0.3">
      <c r="A17" s="2" t="s">
        <v>24</v>
      </c>
      <c r="B17" s="14">
        <v>4500000</v>
      </c>
      <c r="C17" s="16">
        <f t="shared" si="0"/>
        <v>7.4999999999999997E-2</v>
      </c>
      <c r="D17" s="12">
        <v>4700000</v>
      </c>
      <c r="E17" s="8">
        <f>ROUND(入力!$B$5*C17,-3)</f>
        <v>1613000</v>
      </c>
      <c r="F17" s="12">
        <v>1600000</v>
      </c>
      <c r="G17" s="8">
        <f>ROUND(F17*入力!$B$16/50000,0)*50000</f>
        <v>1700000</v>
      </c>
      <c r="H17" s="8">
        <f>F17-D17*入力!$B$9-入力!$B$20/12-入力!$B$14</f>
        <v>-134792</v>
      </c>
      <c r="I17" s="8">
        <f>SUM($H$6:H17)</f>
        <v>225776</v>
      </c>
      <c r="J17" s="8">
        <f>F17-月別目標と営業利益!F17</f>
        <v>-300000</v>
      </c>
      <c r="K17" s="12"/>
      <c r="L17" s="11" t="str">
        <f t="shared" si="1"/>
        <v/>
      </c>
      <c r="M17" s="8">
        <f>IF(OR(L17="",L17=0),0,IF(L17=2,入力!$B$15,入力!$B$14))</f>
        <v>0</v>
      </c>
    </row>
    <row r="18" spans="1:13" ht="15" x14ac:dyDescent="0.3">
      <c r="A18" s="3" t="s">
        <v>25</v>
      </c>
      <c r="B18" s="10">
        <f>SUM(B6:B17)</f>
        <v>60000000</v>
      </c>
      <c r="D18" s="10">
        <f>SUM(D6:D17)</f>
        <v>63000000</v>
      </c>
      <c r="E18" s="10">
        <f>SUM(E6:E17)</f>
        <v>21502000</v>
      </c>
      <c r="F18" s="10">
        <f>SUM(F6:F17)</f>
        <v>21500000</v>
      </c>
      <c r="G18" s="10">
        <f>SUM(G6:G17)</f>
        <v>22650000</v>
      </c>
      <c r="H18" s="10">
        <f>SUM(H6:H17)</f>
        <v>225776</v>
      </c>
      <c r="K18" s="10">
        <f>SUM(K6:K17)</f>
        <v>0</v>
      </c>
      <c r="M18" s="10">
        <f>SUM(M6:M17)</f>
        <v>0</v>
      </c>
    </row>
    <row r="19" spans="1:13" ht="15" x14ac:dyDescent="0.3">
      <c r="A19" s="2" t="s">
        <v>26</v>
      </c>
      <c r="D19" s="8">
        <f>D18-入力!B19</f>
        <v>0</v>
      </c>
      <c r="F19" s="8">
        <f>F18-入力!B5</f>
        <v>0</v>
      </c>
    </row>
    <row r="20" spans="1:13" ht="15" x14ac:dyDescent="0.3">
      <c r="A20" s="2" t="s">
        <v>113</v>
      </c>
    </row>
  </sheetData>
  <phoneticPr fontId="9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showGridLines="0" workbookViewId="0"/>
  </sheetViews>
  <sheetFormatPr defaultRowHeight="13.2" x14ac:dyDescent="0.2"/>
  <cols>
    <col min="1" max="1" width="22" customWidth="1"/>
    <col min="2" max="3" width="8" customWidth="1"/>
    <col min="4" max="5" width="16" customWidth="1"/>
  </cols>
  <sheetData>
    <row r="1" spans="1:5" ht="18.600000000000001" x14ac:dyDescent="0.35">
      <c r="A1" s="1" t="s">
        <v>118</v>
      </c>
    </row>
    <row r="2" spans="1:5" ht="15" x14ac:dyDescent="0.3">
      <c r="A2" s="2" t="s">
        <v>119</v>
      </c>
    </row>
    <row r="4" spans="1:5" ht="31.95" customHeight="1" x14ac:dyDescent="0.2">
      <c r="A4" s="5" t="s">
        <v>28</v>
      </c>
      <c r="B4" s="5" t="s">
        <v>29</v>
      </c>
      <c r="C4" s="5" t="s">
        <v>120</v>
      </c>
      <c r="D4" s="5" t="s">
        <v>121</v>
      </c>
      <c r="E4" s="5" t="s">
        <v>122</v>
      </c>
    </row>
    <row r="5" spans="1:5" ht="15" x14ac:dyDescent="0.3">
      <c r="A5" s="2" t="s">
        <v>123</v>
      </c>
      <c r="B5" s="4">
        <v>1</v>
      </c>
      <c r="C5" s="16">
        <f>B5*D5/$D$8</f>
        <v>0.4</v>
      </c>
      <c r="D5" s="12">
        <v>12000</v>
      </c>
      <c r="E5" s="12">
        <v>20000</v>
      </c>
    </row>
    <row r="6" spans="1:5" ht="15" x14ac:dyDescent="0.3">
      <c r="A6" s="2" t="s">
        <v>124</v>
      </c>
      <c r="B6" s="4">
        <v>1</v>
      </c>
      <c r="C6" s="16">
        <f>B6*D6/$D$8</f>
        <v>0.26666666666666666</v>
      </c>
      <c r="D6" s="12">
        <v>8000</v>
      </c>
      <c r="E6" s="12">
        <v>14000</v>
      </c>
    </row>
    <row r="7" spans="1:5" ht="15" x14ac:dyDescent="0.3">
      <c r="A7" s="2" t="s">
        <v>125</v>
      </c>
      <c r="B7" s="4">
        <v>2</v>
      </c>
      <c r="C7" s="16">
        <f>B7*D7/$D$8</f>
        <v>0.33333333333333331</v>
      </c>
      <c r="D7" s="12">
        <v>5000</v>
      </c>
      <c r="E7" s="12">
        <v>8000</v>
      </c>
    </row>
    <row r="8" spans="1:5" ht="15" x14ac:dyDescent="0.3">
      <c r="A8" s="3" t="s">
        <v>126</v>
      </c>
      <c r="B8" s="9">
        <f>SUM(B5:B7)</f>
        <v>4</v>
      </c>
      <c r="D8" s="10">
        <f>SUMPRODUCT(B5:B7,D5:D7)</f>
        <v>30000</v>
      </c>
      <c r="E8" s="10">
        <f>SUMPRODUCT(B5:B7,E5:E7)</f>
        <v>50000</v>
      </c>
    </row>
    <row r="9" spans="1:5" ht="15" x14ac:dyDescent="0.3">
      <c r="A9" s="3" t="s">
        <v>127</v>
      </c>
      <c r="D9" s="10">
        <f>D8*12</f>
        <v>360000</v>
      </c>
      <c r="E9" s="10">
        <f>E8*12</f>
        <v>600000</v>
      </c>
    </row>
    <row r="10" spans="1:5" ht="15" x14ac:dyDescent="0.3">
      <c r="A10" s="2" t="s">
        <v>128</v>
      </c>
    </row>
    <row r="12" spans="1:5" ht="15" x14ac:dyDescent="0.3">
      <c r="A12" s="2" t="s">
        <v>129</v>
      </c>
    </row>
    <row r="13" spans="1:5" ht="15" x14ac:dyDescent="0.3">
      <c r="A13" s="2" t="s">
        <v>35</v>
      </c>
    </row>
  </sheetData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共通部あり・なし</vt:lpstr>
      <vt:lpstr>目標設定</vt:lpstr>
      <vt:lpstr>入力</vt:lpstr>
      <vt:lpstr>年間損益</vt:lpstr>
      <vt:lpstr>達成度別</vt:lpstr>
      <vt:lpstr>粗利率別</vt:lpstr>
      <vt:lpstr>月別目標と営業利益</vt:lpstr>
      <vt:lpstr>月別（スマレジ版）</vt:lpstr>
      <vt:lpstr>報奨金（例B）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家高05</cp:lastModifiedBy>
  <dcterms:created xsi:type="dcterms:W3CDTF">2026-10-01T08:31:58Z</dcterms:created>
  <dcterms:modified xsi:type="dcterms:W3CDTF">2026-10-01T08:52:01Z</dcterms:modified>
</cp:coreProperties>
</file>